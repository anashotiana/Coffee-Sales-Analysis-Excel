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hidePivotFieldList="1" defaultThemeVersion="166925"/>
  <mc:AlternateContent xmlns:mc="http://schemas.openxmlformats.org/markup-compatibility/2006">
    <mc:Choice Requires="x15">
      <x15ac:absPath xmlns:x15ac="http://schemas.microsoft.com/office/spreadsheetml/2010/11/ac" url="/Users/anashotiana/Documents/Excel Project/"/>
    </mc:Choice>
  </mc:AlternateContent>
  <xr:revisionPtr revIDLastSave="0" documentId="13_ncr:1_{2F0EDE0B-56BF-4545-9BFF-A002F04C443F}" xr6:coauthVersionLast="47" xr6:coauthVersionMax="47" xr10:uidLastSave="{00000000-0000-0000-0000-000000000000}"/>
  <bookViews>
    <workbookView xWindow="0" yWindow="0" windowWidth="28800" windowHeight="18000" activeTab="7" xr2:uid="{00000000-000D-0000-FFFF-FFFF00000000}"/>
  </bookViews>
  <sheets>
    <sheet name="TotalSales" sheetId="18" r:id="rId1"/>
    <sheet name="CountryBarChart" sheetId="20" r:id="rId2"/>
    <sheet name="Top5Customers" sheetId="21" r:id="rId3"/>
    <sheet name="Sheet5" sheetId="22" r:id="rId4"/>
    <sheet name="orders" sheetId="17" r:id="rId5"/>
    <sheet name="customers" sheetId="13" r:id="rId6"/>
    <sheet name="products" sheetId="2" r:id="rId7"/>
    <sheet name="Dashboard" sheetId="23" r:id="rId8"/>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628" i="17"/>
  <c r="M6" i="17"/>
  <c r="M7" i="17"/>
  <c r="M23" i="17"/>
  <c r="M54" i="17"/>
  <c r="M68" i="17"/>
  <c r="M69" i="17"/>
  <c r="M84" i="17"/>
  <c r="M111" i="17"/>
  <c r="M122" i="17"/>
  <c r="M123" i="17"/>
  <c r="M133" i="17"/>
  <c r="M160" i="17"/>
  <c r="M169" i="17"/>
  <c r="M206" i="17"/>
  <c r="M242" i="17"/>
  <c r="M279" i="17"/>
  <c r="M315" i="17"/>
  <c r="M352" i="17"/>
  <c r="M389" i="17"/>
  <c r="M425" i="17"/>
  <c r="M455" i="17"/>
  <c r="M480" i="17"/>
  <c r="M506" i="17"/>
  <c r="M528" i="17"/>
  <c r="M553" i="17"/>
  <c r="M579" i="17"/>
  <c r="M601" i="17"/>
  <c r="M626" i="17"/>
  <c r="M653" i="17"/>
  <c r="M674" i="17"/>
  <c r="M699" i="17"/>
  <c r="M726" i="17"/>
  <c r="M747" i="17"/>
  <c r="M773" i="17"/>
  <c r="M799" i="17"/>
  <c r="M821" i="17"/>
  <c r="M845" i="17"/>
  <c r="M868" i="17"/>
  <c r="M887" i="17"/>
  <c r="M909" i="17"/>
  <c r="M932" i="17"/>
  <c r="M951" i="17"/>
  <c r="M973" i="17"/>
  <c r="I2" i="17"/>
  <c r="N2"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I7" i="17"/>
  <c r="N7" i="17" s="1"/>
  <c r="J7" i="17"/>
  <c r="O7" i="17" s="1"/>
  <c r="K7" i="17"/>
  <c r="L7" i="17"/>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I69" i="17"/>
  <c r="N69" i="17" s="1"/>
  <c r="J69" i="17"/>
  <c r="O69" i="17" s="1"/>
  <c r="K69" i="17"/>
  <c r="L69" i="17"/>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I123" i="17"/>
  <c r="N123" i="17" s="1"/>
  <c r="J123" i="17"/>
  <c r="O123" i="17" s="1"/>
  <c r="K123" i="17"/>
  <c r="L123" i="17"/>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I627" i="17"/>
  <c r="N627" i="17" s="1"/>
  <c r="J627" i="17"/>
  <c r="O627" i="17" s="1"/>
  <c r="K627" i="17"/>
  <c r="L627" i="17"/>
  <c r="M627" i="17" s="1"/>
  <c r="I628" i="17"/>
  <c r="N628" i="17" s="1"/>
  <c r="J628" i="17"/>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<sst xmlns="http://schemas.openxmlformats.org/spreadsheetml/2006/main" count="11096" uniqueCount="6219">
  <si>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</si>
  <si>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</si>
  <si>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</si>
  <si>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</si>
  <si>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</si>
  <si>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</si>
  <si>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</si>
  <si>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</si>
  <si>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</si>
  <si>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</si>
  <si>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</si>
  <si>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</si>
  <si>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</si>
  <si>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</si>
  <si>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</si>
  <si>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</si>
  <si>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</si>
  <si>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</si>
  <si>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</si>
  <si>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</si>
  <si>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</si>
  <si>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</si>
  <si>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</si>
  <si>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</si>
  <si>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</si>
  <si>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</si>
  <si>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</si>
  <si>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</si>
  <si>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</si>
  <si>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</si>
  <si>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</si>
  <si>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</si>
  <si>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</si>
  <si>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</si>
  <si>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</si>
  <si>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</si>
  <si>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</si>
  <si>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</si>
  <si>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</si>
  <si>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</si>
  <si>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</si>
  <si>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</si>
  <si>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</si>
  <si>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</si>
  <si>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</si>
  <si>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</si>
  <si>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</si>
  <si>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</si>
  <si>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</si>
  <si>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</si>
  <si>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</si>
  <si>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</si>
  <si>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</si>
  <si>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</si>
  <si>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</si>
  <si>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</si>
  <si>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</si>
  <si>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</si>
  <si>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</si>
  <si>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</si>
  <si>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</si>
  <si>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</si>
  <si>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</si>
  <si>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</si>
  <si>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</si>
  <si>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</si>
  <si>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</si>
  <si>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</si>
  <si>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</si>
  <si>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</si>
  <si>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</si>
  <si>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</si>
  <si>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</si>
  <si>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</si>
  <si>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</si>
  <si>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</si>
  <si>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</si>
  <si>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</si>
  <si>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</si>
  <si>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</si>
  <si>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</si>
  <si>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</si>
  <si>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</si>
  <si>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</si>
  <si>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</si>
  <si>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</si>
  <si>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</si>
  <si>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</si>
  <si>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</si>
  <si>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</si>
  <si>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</si>
  <si>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</si>
  <si>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</si>
  <si>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</si>
  <si>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</si>
  <si>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</si>
  <si>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</si>
  <si>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</si>
  <si>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</si>
  <si>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</si>
  <si>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</si>
  <si>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</si>
  <si>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</si>
  <si>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</si>
  <si>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</si>
  <si>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</si>
  <si>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</si>
  <si>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</si>
  <si>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</si>
  <si>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</si>
  <si>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</si>
  <si>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</si>
  <si>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</si>
  <si>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</si>
  <si>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</si>
  <si>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</si>
  <si>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</si>
  <si>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</si>
  <si>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</si>
  <si>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</si>
  <si>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</si>
  <si>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</si>
  <si>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</si>
  <si>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</si>
  <si>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</si>
  <si>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</si>
  <si>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</si>
  <si>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</si>
  <si>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</si>
  <si>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</si>
  <si>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</si>
  <si>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</si>
  <si>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</si>
  <si>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</si>
  <si>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</si>
  <si>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</si>
  <si>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</si>
  <si>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</si>
  <si>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</si>
  <si>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</si>
  <si>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</si>
  <si>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</si>
  <si>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</si>
  <si>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</si>
  <si>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</si>
  <si>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</si>
  <si>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</si>
  <si>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</si>
  <si>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</si>
  <si>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</si>
  <si>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</si>
  <si>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</si>
  <si>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</si>
  <si>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</si>
  <si>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</si>
  <si>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</si>
  <si>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</si>
  <si>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</si>
  <si>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</si>
  <si>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</si>
  <si>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</si>
  <si>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</si>
  <si>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</si>
  <si>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</si>
  <si>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</si>
  <si>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</si>
  <si>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</si>
  <si>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</si>
  <si>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</si>
  <si>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</si>
  <si>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</si>
  <si>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</si>
  <si>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</si>
  <si>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</si>
  <si>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</si>
  <si>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</si>
  <si>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</si>
  <si>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</si>
  <si>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</si>
  <si>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</si>
  <si>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</si>
  <si>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</si>
  <si>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</si>
  <si>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</si>
  <si>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</si>
  <si>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</si>
  <si>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</si>
  <si>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</si>
  <si>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</si>
  <si>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</si>
  <si>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</si>
  <si>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</si>
  <si>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</si>
  <si>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</si>
  <si>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</si>
  <si>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</si>
  <si>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</si>
  <si>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</si>
  <si>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</si>
  <si>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</si>
  <si>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</si>
  <si>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</si>
  <si>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</si>
  <si>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</si>
  <si>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</si>
  <si>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</si>
  <si>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</si>
  <si>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</si>
  <si>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</si>
  <si>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</si>
  <si>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</si>
  <si>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</si>
  <si>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</si>
  <si>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</si>
  <si>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</si>
  <si>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</si>
  <si>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</si>
  <si>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</si>
  <si>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</si>
  <si>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</si>
  <si>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</si>
  <si>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</si>
  <si>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</si>
  <si>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</si>
  <si>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</si>
  <si>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</si>
  <si>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</si>
  <si>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</si>
  <si>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</si>
  <si>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</si>
  <si>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</si>
  <si>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</si>
  <si>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</si>
  <si>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</si>
  <si>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</si>
  <si>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</si>
  <si>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</si>
  <si>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</si>
  <si>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</si>
  <si>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</si>
  <si>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</si>
  <si>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</si>
  <si>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</si>
  <si>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</si>
  <si>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</si>
  <si>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</si>
  <si>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</si>
  <si>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</si>
  <si>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</si>
  <si>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</si>
  <si>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</si>
  <si>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</si>
  <si>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</si>
  <si>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</si>
  <si>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</si>
  <si>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</si>
  <si>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</si>
  <si>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</si>
  <si>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</si>
  <si>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</si>
  <si>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</si>
  <si>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</si>
  <si>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</si>
  <si>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</si>
  <si>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</si>
  <si>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</si>
  <si>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</si>
  <si>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</si>
  <si>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</si>
  <si>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</si>
  <si>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</si>
  <si>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</si>
  <si>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</si>
  <si>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</si>
  <si>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</si>
  <si>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</si>
  <si>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</si>
  <si>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</si>
  <si>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</si>
  <si>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</si>
  <si>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</si>
  <si>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</si>
  <si>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</si>
  <si>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</si>
  <si>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</si>
  <si>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</si>
  <si>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</si>
  <si>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</si>
  <si>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</si>
  <si>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</si>
  <si>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</si>
  <si>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</si>
  <si>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</si>
  <si>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</si>
  <si>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</si>
  <si>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</si>
  <si>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</si>
  <si>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</si>
  <si>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</si>
  <si>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</si>
  <si>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</si>
  <si>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</si>
  <si>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</si>
  <si>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</si>
  <si>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</si>
  <si>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</si>
  <si>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</si>
  <si>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</si>
  <si>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</si>
  <si>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</si>
  <si>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</si>
  <si>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</si>
  <si>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</si>
  <si>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</si>
  <si>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</si>
  <si>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</si>
  <si>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</si>
  <si>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</si>
  <si>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</si>
  <si>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</si>
  <si>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</si>
  <si>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</si>
  <si>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</si>
  <si>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</si>
  <si>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</si>
  <si>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</si>
  <si>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</si>
  <si>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</si>
  <si>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</si>
  <si>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</si>
  <si>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</si>
  <si>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</si>
  <si>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</si>
  <si>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</si>
  <si>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</si>
  <si>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</si>
  <si>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</si>
  <si>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</si>
  <si>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</si>
  <si>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</si>
  <si>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</si>
  <si>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</si>
  <si>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</si>
  <si>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</si>
  <si>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</si>
  <si>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</si>
  <si>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</si>
  <si>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</si>
  <si>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</si>
  <si>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</si>
  <si>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</si>
  <si>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</si>
  <si>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</si>
  <si>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</si>
  <si>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</si>
  <si>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</si>
  <si>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</si>
  <si>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</si>
  <si>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</si>
  <si>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</si>
  <si>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</si>
  <si>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</si>
  <si>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</si>
  <si>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</si>
  <si>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</si>
  <si>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</si>
  <si>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</si>
  <si>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</si>
  <si>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</si>
  <si>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</si>
  <si>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</si>
  <si>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</si>
  <si>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</si>
  <si>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</si>
  <si>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</si>
  <si>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</si>
  <si>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</si>
  <si>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</si>
  <si>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</si>
  <si>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</si>
  <si>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</si>
  <si>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</si>
  <si>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</si>
  <si>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</si>
  <si>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</si>
  <si>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</si>
  <si>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</si>
  <si>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</si>
  <si>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</si>
  <si>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</si>
  <si>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</si>
  <si>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</si>
  <si>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</si>
  <si>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</si>
  <si>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</si>
  <si>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</si>
  <si>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</si>
  <si>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</si>
  <si>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</si>
  <si>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</si>
  <si>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</si>
  <si>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</si>
  <si>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</si>
  <si>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</si>
  <si>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</si>
  <si>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</si>
  <si>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</si>
  <si>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</si>
  <si>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</si>
  <si>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</si>
  <si>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</si>
  <si>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</si>
  <si>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</si>
  <si>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</si>
  <si>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</si>
  <si>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</si>
  <si>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</si>
  <si>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</si>
  <si>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</si>
  <si>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</si>
  <si>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</si>
  <si>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</si>
  <si>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</si>
  <si>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</si>
  <si>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</si>
  <si>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</si>
  <si>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</si>
  <si>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</si>
  <si>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</si>
  <si>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</si>
  <si>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</si>
  <si>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</si>
  <si>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</si>
  <si>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</si>
  <si>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</si>
  <si>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</si>
  <si>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</si>
  <si>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</si>
  <si>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</si>
  <si>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</si>
  <si>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</si>
  <si>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</si>
  <si>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</si>
  <si>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</si>
  <si>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</si>
  <si>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</si>
  <si>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</si>
  <si>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</si>
  <si>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</si>
  <si>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</si>
  <si>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</si>
  <si>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</si>
  <si>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</si>
  <si>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</si>
  <si>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</si>
  <si>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</si>
  <si>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</si>
  <si>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</si>
  <si>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</si>
  <si>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</si>
  <si>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</si>
  <si>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</si>
  <si>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</si>
  <si>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</si>
  <si>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</si>
  <si>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</si>
  <si>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</si>
  <si>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</si>
  <si>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</si>
  <si>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</si>
  <si>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</si>
  <si>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</si>
  <si>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</si>
  <si>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</si>
  <si>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</si>
  <si>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</si>
  <si>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</si>
  <si>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</si>
  <si>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</si>
  <si>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</si>
  <si>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</si>
  <si>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</si>
  <si>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</si>
  <si>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</si>
  <si>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</si>
  <si>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</si>
  <si>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</si>
  <si>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</si>
  <si>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</si>
  <si>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</si>
  <si>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</si>
  <si>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</si>
  <si>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</si>
  <si>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</si>
  <si>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</si>
  <si>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</si>
  <si>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</si>
  <si>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</si>
  <si>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</si>
  <si>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</si>
  <si>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</si>
  <si>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</si>
  <si>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</si>
  <si>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</si>
  <si>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</si>
  <si>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</si>
  <si>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</si>
  <si>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</si>
  <si>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</si>
  <si>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</si>
  <si>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</si>
  <si>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</si>
  <si>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</si>
  <si>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</si>
  <si>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</si>
  <si>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</si>
  <si>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</si>
  <si>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</si>
  <si>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</si>
  <si>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</si>
  <si>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</si>
  <si>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</si>
  <si>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</si>
  <si>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</si>
  <si>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</si>
  <si>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</si>
  <si>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</si>
  <si>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</si>
  <si>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</si>
  <si>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</si>
  <si>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</si>
  <si>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</si>
  <si>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</si>
  <si>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</si>
  <si>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</si>
  <si>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</si>
  <si>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</si>
  <si>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</si>
  <si>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</si>
  <si>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</si>
  <si>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</si>
  <si>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</si>
  <si>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</si>
  <si>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</si>
  <si>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</si>
  <si>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</si>
  <si>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</si>
  <si>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</si>
  <si>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</si>
  <si>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</si>
  <si>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</si>
  <si>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</si>
  <si>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</si>
  <si>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</si>
  <si>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</si>
  <si>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</si>
  <si>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</si>
  <si>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</si>
  <si>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</si>
  <si>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</si>
  <si>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</si>
  <si>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</si>
  <si>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</si>
  <si>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</si>
  <si>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</si>
  <si>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</si>
  <si>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</si>
  <si>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</si>
  <si>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</si>
  <si>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</si>
  <si>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</si>
  <si>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</si>
  <si>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</si>
  <si>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</si>
  <si>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</si>
  <si>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</si>
  <si>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</si>
  <si>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</si>
  <si>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</si>
  <si>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</si>
  <si>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</si>
  <si>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</si>
  <si>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</si>
  <si>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</si>
  <si>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</si>
  <si>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</si>
  <si>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</si>
  <si>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</si>
  <si>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</si>
  <si>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</si>
  <si>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</si>
  <si>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</si>
  <si>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</si>
  <si>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</si>
  <si>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</si>
  <si>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</si>
  <si>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</si>
  <si>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</si>
  <si>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</si>
  <si>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</si>
  <si>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</si>
  <si>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</si>
  <si>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</si>
  <si>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</si>
  <si>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</si>
  <si>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</si>
  <si>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</si>
  <si>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</si>
  <si>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</si>
  <si>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</si>
  <si>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</si>
  <si>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</si>
  <si>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</si>
  <si>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</si>
  <si>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</si>
  <si>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</si>
  <si>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</si>
  <si>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</si>
  <si>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</si>
  <si>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</si>
  <si>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</si>
  <si>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</si>
  <si>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</si>
  <si>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</si>
  <si>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</si>
  <si>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</si>
  <si>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</si>
  <si>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</si>
  <si>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</si>
  <si>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</si>
  <si>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</si>
  <si>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</si>
  <si>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</si>
  <si>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</si>
  <si>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</si>
  <si>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</si>
  <si>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</si>
  <si>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</si>
  <si>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</si>
  <si>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</si>
  <si>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</si>
  <si>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</si>
  <si>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</si>
  <si>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</si>
  <si>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</si>
  <si>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</si>
  <si>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</si>
  <si>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</si>
  <si>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</si>
  <si>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</si>
  <si>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</si>
  <si>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</si>
  <si>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</si>
  <si>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</si>
  <si>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</si>
  <si>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</si>
  <si>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</si>
  <si>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</si>
  <si>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</si>
  <si>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</si>
  <si>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</si>
  <si>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</si>
  <si>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</si>
  <si>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</si>
  <si>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</si>
  <si>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</si>
  <si>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</si>
  <si>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</si>
  <si>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</si>
  <si>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</si>
  <si>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</si>
  <si>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</si>
  <si>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</si>
  <si>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</si>
  <si>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</si>
  <si>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</si>
  <si>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</si>
  <si>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</si>
  <si>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</si>
  <si>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</si>
  <si>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</si>
  <si>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</si>
  <si>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</si>
  <si>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</si>
  <si>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</si>
  <si>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</si>
  <si>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</si>
  <si>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</si>
  <si>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</si>
  <si>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</si>
  <si>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</si>
  <si>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</si>
  <si>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</si>
  <si>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</si>
  <si>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</si>
  <si>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</si>
  <si>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</si>
  <si>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</si>
  <si>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</si>
  <si>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</si>
  <si>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</si>
  <si>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</si>
  <si>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</si>
  <si>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</si>
  <si>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</si>
  <si>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</si>
  <si>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</si>
  <si>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</si>
  <si>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</si>
  <si>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</si>
  <si>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</si>
  <si>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</si>
  <si>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</si>
  <si>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</si>
  <si>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</si>
  <si>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</si>
  <si>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</si>
  <si>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</si>
  <si>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</si>
  <si>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</si>
  <si>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</si>
  <si>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</si>
  <si>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</si>
  <si>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</si>
  <si>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</si>
  <si>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</si>
  <si>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</si>
  <si>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</si>
  <si>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</si>
  <si>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</si>
  <si>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</si>
  <si>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</si>
  <si>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</si>
  <si>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</si>
  <si>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</si>
  <si>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</si>
  <si>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</si>
  <si>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</si>
  <si>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</si>
  <si>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</si>
  <si>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</si>
  <si>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</si>
  <si>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</si>
  <si>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</si>
  <si>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</si>
  <si>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</si>
  <si>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</si>
  <si>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</si>
  <si>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</si>
  <si>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</si>
  <si>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</si>
  <si>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</si>
  <si>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</si>
  <si>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</si>
  <si>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</si>
  <si>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</si>
  <si>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</si>
  <si>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</si>
  <si>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</si>
  <si>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</si>
  <si>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</si>
  <si>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</si>
  <si>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</si>
  <si>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</si>
  <si>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</si>
  <si>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</si>
  <si>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</si>
  <si>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</si>
  <si>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</si>
  <si>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</si>
  <si>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</si>
  <si>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</si>
  <si>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</si>
  <si>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</si>
  <si>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</si>
  <si>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</si>
  <si>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</si>
  <si>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</si>
  <si>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</si>
  <si>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</si>
  <si>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</si>
  <si>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</si>
  <si>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</si>
  <si>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</si>
  <si>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</si>
  <si>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</si>
  <si>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</si>
  <si>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</si>
  <si>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</si>
  <si>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</si>
  <si>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</si>
  <si>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</si>
  <si>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</si>
  <si>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</si>
  <si>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</si>
  <si>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</si>
  <si>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</si>
  <si>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</si>
  <si>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</si>
  <si>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</si>
  <si>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</si>
  <si>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</si>
  <si>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</si>
  <si>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</si>
  <si>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</si>
  <si>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</si>
  <si>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</si>
  <si>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</si>
  <si>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</si>
  <si>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</si>
  <si>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</si>
  <si>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</si>
  <si>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</si>
  <si>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</si>
  <si>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</si>
  <si>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</si>
  <si>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</si>
  <si>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</si>
  <si>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</si>
  <si>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</si>
  <si>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</si>
  <si>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</si>
  <si>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</si>
  <si>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</si>
  <si>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</si>
  <si>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</si>
  <si>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</si>
  <si>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</si>
  <si>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</si>
  <si>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</si>
  <si>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</si>
  <si>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</si>
  <si>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</si>
  <si>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</si>
  <si>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</si>
  <si>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</si>
  <si>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</si>
  <si>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</si>
  <si>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</si>
  <si>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</si>
  <si>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</si>
  <si>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</si>
  <si>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</si>
  <si>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</si>
  <si>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</si>
  <si>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</si>
  <si>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</si>
  <si>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</si>
  <si>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</si>
  <si>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</si>
  <si>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</si>
  <si>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</si>
  <si>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</si>
  <si>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</si>
  <si>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</si>
  <si>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</si>
  <si>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</si>
  <si>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</si>
  <si>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</si>
  <si>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</si>
  <si>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</si>
  <si>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</si>
  <si>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</si>
  <si>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</si>
  <si>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</si>
  <si>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</si>
  <si>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</si>
  <si>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</si>
  <si>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</si>
  <si>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</si>
  <si>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</si>
  <si>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</si>
  <si>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</si>
  <si>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</si>
  <si>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</si>
  <si>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</si>
  <si>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</si>
  <si>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</si>
  <si>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</si>
  <si>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</si>
  <si>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</si>
  <si>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</si>
  <si>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</si>
  <si>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</si>
  <si>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</si>
  <si>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</si>
  <si>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</si>
  <si>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</si>
  <si>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</si>
  <si>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</si>
  <si>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</si>
  <si>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</si>
  <si>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</si>
  <si>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</si>
  <si>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</si>
  <si>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</si>
  <si>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</si>
  <si>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</si>
  <si>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</si>
  <si>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</si>
  <si>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</si>
  <si>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</si>
  <si>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</si>
  <si>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</si>
  <si>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</si>
  <si>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</si>
  <si>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</si>
  <si>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</si>
  <si>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</si>
  <si>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</si>
  <si>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</si>
  <si>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</si>
  <si>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</si>
  <si>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</si>
  <si>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</si>
  <si>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</si>
  <si>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</si>
  <si>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</si>
  <si>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</si>
  <si>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</si>
  <si>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</si>
  <si>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</si>
  <si>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</si>
  <si>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</si>
  <si>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</si>
  <si>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</si>
  <si>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</si>
  <si>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</si>
  <si>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</si>
  <si>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</si>
  <si>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</si>
  <si>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</si>
  <si>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</si>
  <si>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</si>
  <si>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</si>
  <si>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</si>
  <si>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</si>
  <si>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</si>
  <si>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</si>
  <si>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</si>
  <si>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</si>
  <si>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</si>
  <si>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</si>
  <si>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</si>
  <si>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</si>
  <si>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</si>
  <si>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</si>
  <si>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</si>
  <si>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</si>
  <si>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</si>
  <si>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</si>
  <si>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</si>
  <si>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</si>
  <si>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</si>
  <si>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</si>
  <si>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</si>
  <si>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</si>
  <si>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</si>
  <si>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</si>
  <si>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</si>
  <si>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</si>
  <si>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</si>
  <si>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</si>
  <si>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</si>
  <si>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</si>
  <si>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</si>
  <si>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</si>
  <si>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</si>
  <si>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</si>
  <si>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</si>
  <si>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</si>
  <si>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</si>
  <si>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</si>
  <si>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</si>
  <si>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</si>
  <si>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</si>
  <si>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</si>
  <si>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</si>
  <si>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</si>
  <si>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</si>
  <si>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</si>
  <si>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</si>
  <si>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</si>
  <si>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</si>
  <si>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</si>
  <si>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</si>
  <si>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</si>
  <si>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</si>
  <si>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</si>
  <si>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</si>
  <si>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</si>
  <si>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</si>
  <si>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</si>
  <si>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</si>
  <si>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</si>
  <si>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</si>
  <si>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</si>
  <si>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</si>
  <si>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</si>
  <si>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</si>
  <si>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</si>
  <si>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</si>
  <si>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</si>
  <si>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</si>
  <si>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</si>
  <si>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</si>
  <si>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</si>
  <si>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</si>
  <si>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</si>
  <si>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</si>
  <si>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</si>
  <si>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</si>
  <si>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</si>
  <si>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</si>
  <si>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</si>
  <si>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</si>
  <si>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</si>
  <si>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</si>
  <si>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</si>
  <si>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</si>
  <si>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</si>
  <si>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</si>
  <si>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</si>
  <si>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</si>
  <si>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</si>
  <si>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</si>
  <si>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</si>
  <si>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</si>
  <si>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</si>
  <si>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</si>
  <si>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</si>
  <si>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</si>
  <si>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</si>
  <si>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</si>
  <si>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</si>
  <si>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</si>
  <si>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</si>
  <si>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</si>
  <si>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</si>
  <si>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</si>
  <si>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</si>
  <si>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</si>
  <si>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</si>
  <si>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</si>
  <si>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</si>
  <si>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</si>
  <si>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</si>
  <si>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</si>
  <si>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</si>
  <si>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</si>
  <si>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</si>
  <si>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</si>
  <si>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</si>
  <si>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</si>
  <si>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</si>
  <si>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</si>
  <si>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</si>
  <si>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</si>
  <si>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</si>
  <si>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</si>
  <si>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</si>
  <si>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</si>
  <si>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</si>
  <si>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</si>
  <si>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</si>
  <si>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</si>
  <si>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</si>
  <si>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</si>
  <si>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</si>
  <si>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</si>
  <si>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</si>
  <si>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</si>
  <si>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</si>
  <si>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</si>
  <si>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</si>
  <si>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</si>
  <si>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</si>
  <si>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</si>
  <si>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</si>
  <si>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</si>
  <si>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</si>
  <si>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</si>
  <si>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</si>
  <si>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</si>
  <si>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</si>
  <si>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</si>
  <si>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</si>
  <si>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</si>
  <si>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</si>
  <si>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</si>
  <si>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</si>
  <si>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</si>
  <si>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</si>
  <si>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</si>
  <si>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</si>
  <si>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</si>
  <si>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</si>
  <si>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</si>
  <si>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</si>
  <si>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</si>
  <si>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</si>
  <si>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</si>
  <si>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</si>
  <si>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</si>
  <si>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</si>
  <si>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</si>
  <si>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</si>
  <si>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</si>
  <si>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</si>
  <si>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</si>
  <si>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</si>
  <si>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</si>
  <si>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</si>
  <si>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</si>
  <si>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</si>
  <si>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</si>
  <si>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</si>
  <si>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</si>
  <si>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</si>
  <si>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</si>
  <si>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</si>
  <si>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</si>
  <si>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</si>
  <si>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</si>
  <si>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</si>
  <si>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</si>
  <si>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</si>
  <si>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</si>
  <si>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</si>
  <si>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</si>
  <si>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</si>
  <si>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</si>
  <si>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</si>
  <si>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</si>
  <si>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</si>
  <si>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</si>
  <si>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</si>
  <si>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</si>
  <si>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</si>
  <si>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</si>
  <si>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</si>
  <si>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</si>
  <si>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</si>
  <si>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</si>
  <si>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</si>
  <si>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</si>
  <si>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</si>
  <si>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</si>
  <si>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</si>
  <si>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</si>
  <si>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</si>
  <si>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</si>
  <si>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</si>
  <si>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</si>
  <si>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</si>
  <si>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</si>
  <si>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</si>
  <si>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</si>
  <si>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</si>
  <si>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</si>
  <si>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</si>
  <si>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</si>
  <si>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</si>
  <si>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</si>
  <si>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</si>
  <si>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</si>
  <si>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</si>
  <si>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</si>
  <si>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</si>
  <si>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</si>
  <si>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</si>
  <si>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</si>
  <si>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</si>
  <si>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</si>
  <si>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</si>
  <si>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</si>
  <si>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</si>
  <si>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</si>
  <si>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</si>
  <si>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</si>
  <si>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</si>
  <si>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</si>
  <si>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</si>
  <si>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</si>
  <si>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</si>
  <si>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</si>
  <si>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</si>
  <si>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</si>
  <si>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</si>
  <si>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</si>
  <si>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</si>
  <si>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</si>
  <si>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</si>
  <si>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</si>
  <si>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</si>
  <si>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</si>
  <si>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</si>
  <si>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</si>
  <si>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</si>
  <si>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</si>
  <si>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</si>
  <si>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</si>
  <si>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</si>
  <si>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</si>
  <si>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</si>
  <si>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</si>
  <si>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</si>
  <si>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</si>
  <si>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</si>
  <si>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</si>
  <si>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</si>
  <si>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</si>
  <si>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</si>
  <si>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</si>
  <si>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</si>
  <si>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</si>
  <si>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</si>
  <si>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</si>
  <si>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</si>
  <si>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</si>
  <si>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</si>
  <si>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</si>
  <si>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</si>
  <si>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</si>
  <si>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</si>
  <si>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</si>
  <si>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</si>
  <si>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</si>
  <si>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</si>
  <si>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</si>
  <si>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</si>
  <si>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</si>
  <si>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</si>
  <si>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</si>
  <si>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</si>
  <si>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</si>
  <si>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</si>
  <si>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</si>
  <si>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</si>
  <si>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</si>
  <si>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</si>
  <si>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</si>
  <si>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</si>
  <si>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</si>
  <si>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</si>
  <si>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</si>
  <si>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</si>
  <si>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</si>
  <si>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</si>
  <si>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</si>
  <si>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</si>
  <si>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</si>
  <si>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</si>
  <si>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</si>
  <si>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</si>
  <si>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</si>
  <si>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</si>
  <si>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</si>
  <si>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</si>
  <si>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</si>
  <si>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</si>
  <si>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</si>
  <si>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</si>
  <si>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</si>
  <si>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</si>
  <si>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</si>
  <si>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</si>
  <si>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</si>
  <si>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</si>
  <si>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</si>
  <si>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</si>
  <si>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</si>
  <si>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</si>
  <si>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</si>
  <si>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</si>
  <si>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</si>
  <si>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</si>
  <si>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</si>
  <si>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</si>
  <si>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</si>
  <si>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</si>
  <si>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</si>
  <si>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</si>
  <si>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</si>
  <si>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</si>
  <si>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</si>
  <si>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</si>
  <si>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</si>
  <si>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</si>
  <si>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</si>
  <si>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</si>
  <si>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</si>
  <si>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</si>
  <si>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</si>
  <si>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</si>
  <si>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</si>
  <si>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</si>
  <si>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</si>
  <si>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</si>
  <si>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</si>
  <si>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</si>
  <si>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</si>
  <si>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</si>
  <si>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</si>
  <si>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</si>
  <si>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</si>
  <si>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</si>
  <si>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</si>
  <si>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</si>
  <si>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</si>
  <si>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</si>
  <si>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</si>
  <si>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</si>
  <si>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</si>
  <si>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</si>
  <si>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</si>
  <si>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</si>
  <si>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</si>
  <si>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</si>
  <si>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</si>
  <si>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</si>
  <si>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</si>
  <si>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</si>
  <si>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</si>
  <si>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</si>
  <si>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</si>
  <si>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</si>
  <si>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</si>
  <si>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</si>
  <si>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</si>
  <si>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</si>
  <si>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</si>
  <si>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</si>
  <si>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</si>
  <si>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</si>
  <si>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</si>
  <si>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</si>
  <si>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</si>
  <si>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</si>
  <si>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</si>
  <si>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</si>
  <si>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</si>
  <si>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</si>
  <si>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</si>
  <si>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</si>
  <si>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</si>
  <si>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</si>
  <si>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</si>
  <si>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</si>
  <si>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</si>
  <si>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</si>
  <si>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</si>
  <si>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</si>
  <si>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</si>
  <si>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</si>
  <si>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</si>
  <si>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</si>
  <si>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</si>
  <si>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</si>
  <si>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</si>
  <si>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</si>
  <si>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</si>
  <si>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</si>
  <si>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</si>
  <si>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</si>
  <si>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</si>
  <si>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</si>
  <si>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</si>
  <si>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</si>
  <si>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</si>
  <si>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</si>
  <si>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</si>
  <si>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</si>
  <si>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</si>
  <si>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</si>
  <si>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</si>
  <si>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</si>
  <si>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</si>
  <si>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</si>
  <si>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</si>
  <si>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</si>
  <si>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</si>
  <si>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</si>
  <si>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</si>
  <si>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</si>
  <si>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</si>
  <si>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</si>
  <si>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</si>
  <si>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</si>
  <si>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</si>
  <si>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</si>
  <si>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</si>
  <si>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</si>
  <si>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</si>
  <si>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</si>
  <si>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</si>
  <si>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</si>
  <si>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</si>
  <si>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</si>
  <si>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</si>
  <si>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</si>
  <si>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</si>
  <si>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</si>
  <si>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</si>
  <si>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</si>
  <si>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</si>
  <si>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</si>
  <si>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</si>
  <si>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</si>
  <si>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</si>
  <si>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</si>
  <si>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</si>
  <si>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</si>
  <si>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</si>
  <si>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</si>
  <si>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</si>
  <si>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</si>
  <si>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</si>
  <si>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</si>
  <si>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</si>
  <si>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</si>
  <si>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</si>
  <si>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</si>
  <si>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</si>
  <si>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</si>
  <si>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</si>
  <si>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</si>
  <si>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</si>
  <si>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</si>
  <si>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</si>
  <si>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</si>
  <si>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</si>
  <si>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</si>
  <si>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</si>
  <si>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</si>
  <si>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</si>
  <si>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</si>
  <si>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</si>
  <si>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</si>
  <si>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</si>
  <si>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</si>
  <si>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</si>
  <si>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</si>
  <si>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</si>
  <si>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</si>
  <si>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</si>
  <si>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</si>
  <si>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</si>
  <si>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</si>
  <si>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</si>
  <si>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</si>
  <si>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</si>
  <si>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</si>
  <si>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</si>
  <si>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</si>
  <si>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</si>
  <si>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</si>
  <si>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</si>
  <si>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</si>
  <si>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</si>
  <si>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</si>
  <si>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</si>
  <si>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</si>
  <si>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</si>
  <si>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</si>
  <si>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</si>
  <si>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</si>
  <si>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</si>
  <si>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</si>
  <si>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</si>
  <si>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</si>
  <si>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</si>
  <si>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</si>
  <si>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</si>
  <si>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</si>
  <si>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</si>
  <si>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</si>
  <si>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</si>
  <si>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</si>
  <si>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</si>
  <si>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</si>
  <si>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</si>
  <si>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</si>
  <si>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</si>
  <si>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</si>
  <si>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</si>
  <si>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</si>
  <si>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</si>
  <si>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</si>
  <si>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</si>
  <si>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</si>
  <si>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</si>
  <si>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</si>
  <si>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</si>
  <si>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</si>
  <si>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</si>
  <si>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</si>
  <si>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</si>
  <si>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</si>
  <si>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</si>
  <si>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</si>
  <si>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</si>
  <si>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</si>
  <si>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</si>
  <si>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</si>
  <si>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</si>
  <si>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</si>
  <si>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</si>
  <si>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</si>
  <si>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</si>
  <si>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</si>
  <si>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</si>
  <si>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</si>
  <si>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</si>
  <si>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</si>
  <si>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</si>
  <si>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</si>
  <si>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</si>
  <si>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</si>
  <si>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</si>
  <si>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</si>
  <si>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</si>
  <si>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</si>
  <si>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</si>
  <si>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</si>
  <si>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</si>
  <si>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</si>
  <si>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</si>
  <si>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</si>
  <si>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</si>
  <si>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</si>
  <si>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</si>
  <si>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</si>
  <si>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</si>
  <si>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</si>
  <si>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</si>
  <si>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</si>
  <si>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</si>
  <si>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</si>
  <si>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</si>
  <si>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</si>
  <si>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</si>
  <si>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</si>
  <si>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</si>
  <si>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</si>
  <si>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</si>
  <si>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</si>
  <si>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</si>
  <si>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</si>
  <si>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</si>
  <si>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</si>
  <si>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</si>
  <si>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</si>
  <si>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</si>
  <si>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</si>
  <si>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</si>
  <si>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</si>
  <si>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</si>
  <si>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</si>
  <si>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</si>
  <si>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</si>
  <si>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</si>
  <si>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</si>
  <si>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</si>
  <si>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</si>
  <si>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</si>
  <si>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</si>
  <si>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</si>
  <si>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</si>
  <si>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</si>
  <si>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</si>
  <si>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</si>
  <si>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</si>
  <si>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</si>
  <si>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</si>
  <si>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</si>
  <si>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</si>
  <si>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</si>
  <si>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</si>
  <si>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</si>
  <si>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</si>
  <si>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</si>
  <si>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</si>
  <si>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</si>
  <si>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</si>
  <si>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</si>
  <si>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</si>
  <si>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</si>
  <si>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</si>
  <si>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</si>
  <si>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</si>
  <si>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</si>
  <si>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</si>
  <si>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</si>
  <si>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</si>
  <si>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</si>
  <si>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</si>
  <si>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</si>
  <si>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</si>
  <si>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</si>
  <si>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</si>
  <si>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</si>
  <si>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</si>
  <si>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</si>
  <si>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</si>
  <si>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</si>
  <si>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</si>
  <si>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</si>
  <si>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</si>
  <si>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</si>
  <si>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</si>
  <si>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</si>
  <si>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</si>
  <si>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</si>
  <si>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</si>
  <si>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</si>
  <si>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</si>
  <si>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</si>
  <si>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</si>
  <si>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</si>
  <si>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</si>
  <si>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</si>
  <si>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</si>
  <si>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</si>
  <si>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</si>
  <si>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</si>
  <si>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</si>
  <si>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</si>
  <si>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</si>
  <si>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</si>
  <si>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</si>
  <si>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</si>
  <si>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</si>
  <si>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</si>
  <si>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</si>
  <si>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</si>
  <si>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</si>
  <si>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</si>
  <si>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</si>
  <si>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</si>
  <si>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</si>
  <si>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</si>
  <si>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</si>
  <si>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</si>
  <si>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</si>
  <si>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</si>
  <si>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</si>
  <si>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</si>
  <si>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</si>
  <si>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</si>
  <si>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</si>
  <si>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</si>
  <si>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</si>
  <si>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</si>
  <si>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</si>
  <si>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</si>
  <si>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</si>
  <si>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</si>
  <si>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</si>
  <si>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</si>
  <si>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</si>
  <si>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</si>
  <si>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</si>
  <si>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</si>
  <si>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</si>
  <si>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</si>
  <si>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</si>
  <si>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</si>
  <si>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</si>
  <si>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</si>
  <si>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</si>
  <si>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</si>
  <si>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</si>
  <si>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</si>
  <si>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</si>
  <si>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</si>
  <si>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</si>
  <si>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</si>
  <si>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</si>
  <si>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</si>
  <si>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</si>
  <si>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</si>
  <si>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</si>
  <si>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</si>
  <si>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</si>
  <si>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</si>
  <si>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</si>
  <si>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</si>
  <si>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</si>
  <si>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</si>
  <si>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</si>
  <si>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</si>
  <si>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</si>
  <si>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</si>
  <si>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</si>
  <si>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</si>
  <si>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</si>
  <si>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</si>
  <si>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</si>
  <si>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</si>
  <si>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</si>
  <si>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</si>
  <si>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</si>
  <si>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</si>
  <si>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</si>
  <si>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</si>
  <si>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</si>
  <si>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</si>
  <si>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</si>
  <si>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</si>
  <si>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</si>
  <si>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</si>
  <si>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</si>
  <si>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</si>
  <si>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</si>
  <si>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</si>
  <si>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</si>
  <si>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</si>
  <si>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</si>
  <si>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</si>
  <si>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</si>
  <si>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</si>
  <si>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</si>
  <si>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</si>
  <si>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</si>
  <si>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</si>
  <si>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</si>
  <si>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</si>
  <si>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</si>
  <si>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</si>
  <si>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</si>
  <si>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</si>
  <si>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</si>
  <si>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</si>
  <si>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</si>
  <si>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</si>
  <si>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</si>
  <si>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</si>
  <si>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</si>
  <si>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</si>
  <si>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</si>
  <si>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</si>
  <si>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</si>
  <si>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</si>
  <si>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</si>
  <si>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</si>
  <si>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</si>
  <si>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</si>
  <si>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</si>
  <si>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</si>
  <si>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</si>
  <si>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</si>
  <si>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</si>
  <si>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</si>
  <si>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</si>
  <si>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</si>
  <si>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</si>
  <si>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</si>
  <si>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</si>
  <si>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</si>
  <si>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</si>
  <si>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</si>
  <si>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</si>
  <si>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</si>
  <si>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</si>
  <si>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</si>
  <si>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</si>
  <si>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</si>
  <si>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</si>
  <si>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</si>
  <si>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</si>
  <si>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</si>
  <si>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</si>
  <si>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</si>
  <si>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</si>
  <si>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</si>
  <si>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</si>
  <si>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</si>
  <si>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</si>
  <si>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</si>
  <si>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</si>
  <si>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</si>
  <si>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</si>
  <si>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</si>
  <si>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</si>
  <si>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</si>
  <si>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</si>
  <si>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</si>
  <si>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</si>
  <si>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</si>
  <si>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</si>
  <si>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</si>
  <si>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</si>
  <si>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</si>
  <si>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</si>
  <si>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</si>
  <si>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</si>
  <si>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</si>
  <si>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</si>
  <si>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</si>
  <si>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</si>
  <si>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</si>
  <si>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</si>
  <si>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</si>
  <si>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</si>
  <si>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</si>
  <si>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</si>
  <si>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</si>
  <si>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</si>
  <si>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</si>
  <si>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</si>
  <si>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</si>
  <si>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</si>
  <si>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</si>
  <si>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</si>
  <si>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</si>
  <si>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</si>
  <si>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</si>
  <si>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</si>
  <si>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</si>
  <si>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</si>
  <si>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</si>
  <si>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</si>
  <si>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</si>
  <si>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</si>
  <si>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</si>
  <si>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</si>
  <si>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</si>
  <si>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</si>
  <si>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</si>
  <si>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</si>
  <si>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</si>
  <si>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</si>
  <si>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</si>
  <si>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</si>
  <si>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</si>
  <si>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</si>
  <si>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</si>
  <si>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</si>
  <si>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</si>
  <si>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</si>
  <si>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</si>
  <si>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</si>
  <si>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</si>
  <si>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</si>
  <si>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</si>
  <si>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</si>
  <si>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</si>
  <si>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</si>
  <si>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</si>
  <si>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</si>
  <si>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</si>
  <si>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</si>
  <si>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</si>
  <si>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</si>
  <si>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</si>
  <si>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</si>
  <si>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</si>
  <si>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</si>
  <si>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</si>
  <si>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</si>
  <si>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</si>
  <si>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</si>
  <si>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</si>
  <si>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</si>
  <si>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</si>
  <si>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</si>
  <si>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</si>
  <si>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</si>
  <si>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</si>
  <si>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</si>
  <si>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</si>
  <si>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</si>
  <si>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</si>
  <si>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</si>
  <si>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</si>
  <si>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</si>
  <si>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</si>
  <si>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</si>
  <si>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</si>
  <si>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</si>
  <si>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</si>
  <si>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</si>
  <si>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</si>
  <si>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</si>
  <si>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</si>
  <si>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</si>
  <si>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</si>
  <si>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</si>
  <si>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</si>
  <si>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</si>
  <si>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</si>
  <si>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</si>
  <si>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</si>
  <si>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</si>
  <si>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</si>
  <si>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</si>
  <si>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</si>
  <si>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</si>
  <si>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</si>
  <si>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</si>
  <si>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</si>
  <si>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</si>
  <si>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</si>
  <si>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</si>
  <si>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</si>
  <si>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</si>
  <si>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</si>
  <si>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</si>
  <si>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</si>
  <si>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</si>
  <si>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</si>
  <si>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</si>
  <si>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</si>
  <si>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</si>
  <si>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</si>
  <si>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</si>
  <si>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</si>
  <si>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</si>
  <si>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</si>
  <si>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</si>
  <si>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</si>
  <si>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</si>
  <si>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</si>
  <si>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</si>
  <si>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</si>
  <si>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</si>
  <si>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</si>
  <si>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</si>
  <si>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</si>
  <si>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</si>
  <si>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</si>
  <si>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</si>
  <si>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</si>
  <si>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</si>
  <si>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</si>
  <si>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</si>
  <si>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</si>
  <si>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</si>
  <si>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</si>
  <si>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</si>
  <si>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</si>
  <si>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</si>
  <si>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</si>
  <si>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</si>
  <si>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</si>
  <si>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</si>
  <si>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</si>
  <si>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</si>
  <si>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</si>
  <si>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</si>
  <si>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</si>
  <si>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</si>
  <si>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</si>
  <si>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</si>
  <si>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</si>
  <si>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</si>
  <si>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</si>
  <si>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</si>
  <si>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</si>
  <si>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</si>
  <si>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</si>
  <si>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</si>
  <si>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</si>
  <si>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</si>
  <si>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</si>
  <si>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</si>
  <si>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</si>
  <si>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</si>
  <si>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</si>
  <si>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</si>
  <si>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</si>
  <si>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</si>
  <si>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</si>
  <si>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</si>
  <si>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</si>
  <si>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</si>
  <si>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</si>
  <si>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</si>
  <si>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</si>
  <si>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</si>
  <si>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</si>
  <si>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</si>
  <si>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</si>
  <si>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</si>
  <si>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</si>
  <si>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</si>
  <si>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</si>
  <si>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</si>
  <si>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</si>
  <si>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</si>
  <si>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</si>
  <si>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</si>
  <si>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</si>
  <si>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</si>
  <si>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</si>
  <si>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</si>
  <si>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</si>
  <si>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</si>
  <si>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</si>
  <si>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</si>
  <si>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</si>
  <si>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</si>
  <si>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</si>
  <si>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</si>
  <si>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</si>
  <si>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</si>
  <si>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</si>
  <si>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</si>
  <si>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</si>
  <si>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</si>
  <si>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</si>
  <si>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</si>
  <si>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</si>
  <si>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</si>
  <si>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</si>
  <si>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</si>
  <si>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</si>
  <si>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</si>
  <si>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</si>
  <si>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</si>
  <si>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</si>
  <si>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</si>
  <si>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</si>
  <si>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</si>
  <si>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</si>
  <si>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</si>
  <si>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</si>
  <si>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</si>
  <si>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</si>
  <si>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</si>
  <si>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</si>
  <si>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</si>
  <si>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</si>
  <si>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</si>
  <si>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</si>
  <si>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</si>
  <si>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</si>
  <si>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</si>
  <si>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</si>
  <si>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</si>
  <si>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</si>
  <si>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</si>
  <si>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</si>
  <si>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</si>
  <si>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</si>
  <si>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</si>
  <si>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</si>
  <si>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</si>
  <si>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</si>
  <si>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</si>
  <si>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</si>
  <si>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</si>
  <si>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</si>
  <si>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</si>
  <si>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</si>
  <si>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</si>
  <si>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</si>
  <si>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</si>
  <si>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</si>
  <si>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</si>
  <si>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</si>
  <si>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</si>
  <si>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</si>
  <si>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</si>
  <si>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</si>
  <si>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</si>
  <si>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</si>
  <si>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</si>
  <si>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</si>
  <si>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</si>
  <si>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</si>
  <si>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</si>
  <si>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</si>
  <si>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</si>
  <si>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</si>
  <si>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</si>
  <si>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</si>
  <si>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</si>
  <si>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</si>
  <si>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</si>
  <si>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</si>
  <si>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</si>
  <si>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</si>
  <si>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</si>
  <si>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</si>
  <si>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</si>
  <si>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</si>
  <si>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</si>
  <si>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</si>
  <si>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</si>
  <si>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</si>
  <si>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</si>
  <si>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</si>
  <si>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</si>
  <si>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</si>
  <si>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</si>
  <si>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</si>
  <si>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</si>
  <si>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</si>
  <si>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</si>
  <si>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</si>
  <si>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</si>
  <si>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</si>
  <si>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</si>
  <si>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</si>
  <si>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</si>
  <si>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</si>
  <si>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</si>
  <si>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</si>
  <si>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</si>
  <si>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</si>
  <si>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</si>
  <si>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</si>
  <si>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</si>
  <si>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</si>
  <si>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</si>
  <si>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</si>
  <si>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</si>
  <si>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</si>
  <si>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</si>
  <si>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</si>
  <si>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</si>
  <si>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</si>
  <si>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</si>
  <si>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</si>
  <si>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</si>
  <si>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</si>
  <si>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</si>
  <si>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</si>
  <si>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</si>
  <si>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</si>
  <si>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</si>
  <si>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</si>
  <si>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</si>
  <si>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</si>
  <si>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</si>
  <si>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</si>
  <si>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</si>
  <si>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</si>
  <si>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</si>
  <si>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</si>
  <si>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</si>
  <si>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</si>
  <si>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</si>
  <si>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</si>
  <si>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</si>
  <si>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</si>
  <si>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</si>
  <si>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</si>
  <si>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</si>
  <si>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</si>
  <si>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</si>
  <si>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</si>
  <si>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</si>
  <si>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</si>
  <si>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</si>
  <si>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</si>
  <si>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</si>
  <si>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</si>
  <si>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</si>
  <si>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</si>
  <si>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</si>
  <si>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</si>
  <si>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</si>
  <si>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</si>
  <si>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</si>
  <si>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</si>
  <si>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</si>
  <si>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</si>
  <si>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</si>
  <si>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</si>
  <si>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</si>
  <si>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</si>
  <si>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</si>
  <si>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</si>
  <si>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</si>
  <si>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</si>
  <si>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</si>
  <si>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</si>
  <si>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</si>
  <si>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</si>
  <si>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</si>
  <si>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</si>
  <si>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</si>
  <si>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</si>
  <si>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</si>
  <si>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</si>
  <si>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</si>
  <si>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</si>
  <si>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</si>
  <si>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</si>
  <si>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</si>
  <si>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</si>
  <si>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</si>
  <si>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</si>
  <si>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</si>
  <si>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</si>
  <si>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</si>
  <si>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</si>
  <si>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</si>
  <si>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</si>
  <si>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</si>
  <si>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</si>
  <si>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</si>
  <si>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</si>
  <si>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</si>
  <si>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</si>
  <si>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</si>
  <si>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</si>
  <si>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</si>
  <si>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</si>
  <si>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</si>
  <si>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</si>
  <si>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</si>
  <si>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</si>
  <si>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</si>
  <si>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</si>
  <si>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</si>
  <si>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</si>
  <si>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</si>
  <si>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</si>
  <si>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</si>
  <si>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</si>
  <si>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</si>
  <si>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</si>
  <si>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</si>
  <si>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</si>
  <si>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</si>
  <si>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</si>
  <si>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</si>
  <si>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</si>
  <si>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</si>
  <si>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</si>
  <si>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</si>
  <si>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</si>
  <si>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</si>
  <si>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</si>
  <si>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</si>
  <si>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</si>
  <si>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</si>
  <si>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</si>
  <si>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</si>
  <si>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</si>
  <si>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</si>
  <si>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</si>
  <si>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</si>
  <si>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</si>
  <si>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</si>
  <si>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</si>
  <si>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</si>
  <si>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</si>
  <si>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</si>
  <si>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</si>
  <si>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</si>
  <si>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</si>
  <si>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</si>
  <si>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</si>
  <si>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</si>
  <si>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</si>
  <si>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</si>
  <si>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</si>
  <si>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</si>
  <si>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</si>
  <si>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</si>
  <si>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</si>
  <si>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</si>
  <si>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</si>
  <si>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</si>
  <si>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</si>
  <si>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</si>
  <si>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</si>
  <si>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</si>
  <si>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</si>
  <si>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</si>
  <si>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</si>
  <si>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</si>
  <si>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</si>
  <si>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</si>
  <si>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</si>
  <si>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</si>
  <si>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</si>
  <si>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</si>
  <si>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</si>
  <si>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</si>
  <si>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</si>
  <si>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</si>
  <si>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</si>
  <si>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</si>
  <si>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</si>
  <si>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</si>
  <si>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</si>
  <si>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</si>
  <si>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</si>
  <si>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</si>
  <si>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</si>
  <si>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</si>
  <si>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</si>
  <si>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</si>
  <si>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</si>
  <si>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</si>
  <si>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</si>
  <si>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</si>
  <si>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</si>
  <si>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</si>
  <si>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</si>
  <si>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</si>
  <si>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</si>
  <si>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</si>
  <si>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</si>
  <si>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</si>
  <si>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</si>
  <si>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</si>
  <si>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</si>
  <si>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</si>
  <si>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</si>
  <si>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</si>
  <si>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</si>
  <si>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</si>
  <si>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</si>
  <si>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</si>
  <si>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</si>
  <si>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</si>
  <si>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</si>
  <si>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</si>
  <si>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</si>
  <si>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</si>
  <si>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</si>
  <si>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</si>
  <si>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</si>
  <si>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</si>
  <si>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</si>
  <si>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</si>
  <si>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</si>
  <si>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</si>
  <si>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</si>
  <si>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</si>
  <si>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</si>
  <si>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</si>
  <si>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</si>
  <si>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</si>
  <si>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</si>
  <si>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</si>
  <si>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</si>
  <si>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</si>
  <si>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</si>
  <si>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</si>
  <si>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</si>
  <si>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</si>
  <si>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</si>
  <si>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</si>
  <si>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</si>
  <si>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</si>
  <si>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</si>
  <si>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</si>
  <si>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</si>
  <si>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</si>
  <si>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</si>
  <si>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</si>
  <si>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</si>
  <si>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</si>
  <si>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</si>
  <si>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</si>
  <si>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</si>
  <si>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</si>
  <si>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</si>
  <si>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</si>
  <si>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</si>
  <si>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</si>
  <si>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</si>
  <si>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</si>
  <si>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</si>
  <si>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</si>
  <si>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</si>
  <si>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</si>
  <si>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</si>
  <si>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</si>
  <si>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</si>
  <si>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</si>
  <si>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</si>
  <si>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</si>
  <si>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</si>
  <si>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</si>
  <si>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</si>
  <si>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</si>
  <si>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</si>
  <si>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</si>
  <si>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</si>
  <si>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</si>
  <si>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</si>
  <si>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</si>
  <si>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</si>
  <si>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</si>
  <si>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</si>
  <si>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</si>
  <si>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</si>
  <si>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</si>
  <si>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</si>
  <si>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</si>
  <si>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</si>
  <si>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</si>
  <si>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</si>
  <si>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</si>
  <si>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</si>
  <si>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</si>
  <si>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</si>
  <si>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</si>
  <si>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</si>
  <si>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</si>
  <si>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</si>
  <si>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</si>
  <si>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</si>
  <si>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</si>
  <si>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</si>
  <si>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</si>
  <si>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</si>
  <si>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</si>
  <si>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</si>
  <si>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</si>
  <si>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</si>
  <si>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</si>
  <si>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</si>
  <si>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</si>
  <si>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</si>
  <si>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</si>
  <si>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</si>
  <si>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</si>
  <si>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</si>
  <si>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</si>
  <si>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</si>
  <si>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</si>
  <si>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</si>
  <si>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</si>
  <si>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</si>
  <si>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</si>
  <si>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</si>
  <si>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</si>
  <si>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</si>
  <si>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</si>
  <si>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</si>
  <si>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</si>
  <si>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</si>
  <si>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</si>
  <si>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</si>
  <si>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</si>
  <si>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</si>
  <si>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</si>
  <si>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</si>
  <si>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</si>
  <si>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</si>
  <si>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</si>
  <si>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</si>
  <si>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</si>
  <si>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</si>
  <si>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</si>
  <si>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</si>
  <si>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</si>
  <si>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</si>
  <si>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</si>
  <si>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</si>
  <si>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</si>
  <si>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</si>
  <si>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</si>
  <si>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</si>
  <si>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</si>
  <si>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</si>
  <si>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</si>
  <si>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</si>
  <si>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</si>
  <si>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</si>
  <si>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</si>
  <si>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</si>
  <si>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</si>
  <si>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</si>
  <si>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</si>
  <si>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</si>
  <si>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</si>
  <si>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</si>
  <si>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</si>
  <si>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</si>
  <si>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</si>
  <si>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</si>
  <si>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</si>
  <si>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</si>
  <si>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</si>
  <si>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</si>
  <si>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</si>
  <si>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</si>
  <si>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</si>
  <si>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</si>
  <si>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</si>
  <si>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</si>
  <si>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</si>
  <si>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</si>
  <si>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</si>
  <si>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</si>
  <si>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</si>
  <si>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</si>
  <si>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</si>
  <si>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</si>
  <si>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</si>
  <si>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</si>
  <si>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</si>
  <si>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</si>
  <si>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</si>
  <si>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</si>
  <si>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</si>
  <si>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</si>
  <si>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</si>
  <si>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</si>
  <si>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</si>
  <si>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</si>
  <si>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</si>
  <si>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</si>
  <si>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</si>
  <si>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</si>
  <si>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</si>
  <si>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</si>
  <si>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</si>
  <si>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</si>
  <si>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</si>
  <si>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</si>
  <si>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</si>
  <si>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</si>
  <si>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</si>
  <si>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</si>
  <si>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</si>
  <si>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</si>
  <si>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</si>
  <si>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</si>
  <si>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</si>
  <si>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</si>
  <si>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</si>
  <si>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</si>
  <si>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</si>
  <si>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</si>
  <si>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</si>
  <si>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</si>
  <si>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</si>
  <si>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</si>
  <si>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</si>
  <si>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</si>
  <si>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</si>
  <si>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</si>
  <si>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</si>
  <si>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</si>
  <si>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</si>
  <si>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</si>
  <si>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</si>
  <si>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</si>
  <si>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</si>
  <si>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</si>
  <si>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</si>
  <si>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</si>
  <si>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</si>
  <si>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</si>
  <si>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</si>
  <si>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</si>
  <si>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</si>
  <si>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</si>
  <si>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</si>
  <si>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</si>
  <si>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</si>
  <si>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</si>
  <si>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</si>
  <si>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</si>
  <si>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</si>
  <si>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</si>
  <si>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</si>
  <si>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</si>
  <si>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</si>
  <si>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</si>
  <si>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</si>
  <si>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</si>
  <si>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</si>
  <si>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</si>
  <si>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</si>
  <si>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</si>
  <si>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</si>
  <si>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</si>
  <si>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</si>
  <si>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</si>
  <si>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</si>
  <si>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</si>
  <si>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</si>
  <si>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</si>
  <si>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</si>
  <si>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</si>
  <si>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</si>
  <si>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</si>
  <si>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</si>
  <si>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</si>
  <si>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</si>
  <si>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</si>
  <si>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</si>
  <si>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</si>
  <si>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</si>
  <si>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</si>
  <si>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</si>
  <si>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</si>
  <si>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</si>
  <si>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</si>
  <si>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</si>
  <si>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</si>
  <si>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</si>
  <si>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</si>
  <si>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</si>
  <si>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</si>
  <si>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</si>
  <si>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</si>
  <si>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</si>
  <si>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</si>
  <si>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</si>
  <si>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</si>
  <si>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</si>
  <si>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</si>
  <si>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</si>
  <si>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</si>
  <si>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</si>
  <si>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</si>
  <si>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</si>
  <si>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</si>
  <si>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</si>
  <si>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</si>
  <si>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</si>
  <si>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</si>
  <si>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</si>
  <si>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</si>
  <si>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</si>
  <si>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</si>
  <si>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</si>
  <si>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</si>
  <si>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</si>
  <si>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</si>
  <si>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</si>
  <si>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</si>
  <si>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</si>
  <si>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</si>
  <si>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</si>
  <si>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</si>
  <si>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</si>
  <si>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</si>
  <si>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</si>
  <si>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</si>
  <si>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</si>
  <si>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</si>
  <si>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</si>
  <si>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</si>
  <si>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</si>
  <si>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</si>
  <si>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</si>
  <si>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</si>
  <si>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</si>
  <si>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</si>
  <si>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</si>
  <si>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</si>
  <si>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</si>
  <si>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</si>
  <si>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</si>
  <si>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</si>
  <si>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</si>
  <si>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</si>
  <si>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</si>
  <si>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</si>
  <si>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</si>
  <si>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</si>
  <si>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</si>
  <si>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</si>
  <si>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</si>
  <si>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</si>
  <si>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</si>
  <si>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</si>
  <si>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</si>
  <si>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</si>
  <si>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</si>
  <si>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</si>
  <si>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</si>
  <si>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</si>
  <si>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</si>
  <si>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</si>
  <si>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</si>
  <si>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</si>
  <si>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</si>
  <si>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</si>
  <si>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</si>
  <si>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</si>
  <si>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</si>
  <si>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</si>
  <si>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</si>
  <si>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</si>
  <si>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</si>
  <si>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</si>
  <si>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</si>
  <si>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</si>
  <si>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</si>
  <si>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</si>
  <si>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</si>
  <si>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</si>
  <si>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</si>
  <si>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</si>
  <si>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</si>
  <si>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</si>
  <si>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</si>
  <si>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</si>
  <si>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</si>
  <si>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</si>
  <si>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</si>
  <si>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</si>
  <si>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</si>
  <si>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</si>
  <si>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</si>
  <si>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</si>
  <si>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</si>
  <si>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</si>
  <si>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</si>
  <si>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</si>
  <si>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</si>
  <si>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</si>
  <si>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</si>
  <si>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</si>
  <si>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</si>
  <si>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</si>
  <si>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</si>
  <si>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</si>
  <si>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</si>
  <si>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</si>
  <si>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</si>
  <si>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</si>
  <si>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</si>
  <si>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</si>
  <si>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</si>
  <si>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</si>
  <si>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</si>
  <si>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</si>
  <si>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</si>
  <si>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</si>
  <si>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</si>
  <si>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</si>
  <si>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</si>
  <si>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</si>
  <si>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</si>
  <si>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</si>
  <si>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</si>
  <si>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</si>
  <si>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</si>
  <si>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</si>
  <si>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</si>
  <si>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</si>
  <si>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</si>
  <si>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</si>
  <si>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</si>
  <si>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</si>
  <si>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</si>
  <si>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</si>
  <si>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</si>
  <si>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</si>
  <si>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</si>
  <si>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</si>
  <si>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</si>
  <si>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</si>
  <si>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</si>
  <si>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</si>
  <si>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</si>
  <si>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</si>
  <si>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</si>
  <si>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</si>
  <si>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</si>
  <si>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</si>
  <si>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</si>
  <si>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</si>
  <si>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</si>
  <si>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</si>
  <si>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</si>
  <si>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</si>
  <si>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</si>
  <si>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</si>
  <si>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</si>
  <si>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</si>
  <si>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</si>
  <si>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</si>
  <si>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</si>
  <si>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</si>
  <si>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</si>
  <si>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</si>
  <si>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</si>
  <si>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</si>
  <si>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</si>
  <si>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</si>
  <si>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</si>
  <si>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</si>
  <si>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</si>
  <si>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</si>
  <si>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</si>
  <si>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</si>
  <si>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</si>
  <si>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</si>
  <si>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</si>
  <si>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</si>
  <si>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</si>
  <si>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</si>
  <si>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</si>
  <si>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</si>
  <si>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</si>
  <si>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</si>
  <si>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</si>
  <si>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</si>
  <si>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</si>
  <si>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</si>
  <si>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</si>
  <si>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</si>
  <si>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</si>
  <si>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</si>
  <si>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</si>
  <si>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</si>
  <si>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</si>
  <si>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</si>
  <si>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</si>
  <si>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</si>
  <si>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</si>
  <si>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</si>
  <si>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</si>
  <si>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</si>
  <si>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</si>
  <si>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</si>
  <si>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</si>
  <si>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</si>
  <si>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</si>
  <si>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</si>
  <si>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</si>
  <si>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</si>
  <si>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</si>
  <si>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</si>
  <si>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</si>
  <si>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</si>
  <si>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</si>
  <si>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</si>
  <si>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</si>
  <si>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</si>
  <si>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</si>
  <si>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</si>
  <si>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</si>
  <si>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</si>
  <si>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</si>
  <si>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</si>
  <si>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</si>
  <si>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</si>
  <si>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</si>
  <si>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</si>
  <si>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</si>
  <si>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</si>
  <si>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</si>
  <si>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</si>
  <si>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</si>
  <si>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</si>
  <si>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</si>
  <si>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</si>
  <si>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</si>
  <si>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</si>
  <si>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</si>
  <si>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</si>
  <si>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</si>
  <si>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</si>
  <si>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</si>
  <si>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</si>
  <si>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</si>
  <si>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</si>
  <si>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</si>
  <si>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</si>
  <si>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</si>
  <si>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</si>
  <si>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</si>
  <si>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</si>
  <si>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</si>
  <si>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</si>
  <si>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</si>
  <si>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</si>
  <si>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</si>
  <si>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</si>
  <si>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</si>
  <si>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</si>
  <si>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</si>
  <si>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</si>
  <si>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</si>
  <si>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</si>
  <si>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</si>
  <si>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</si>
  <si>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</si>
  <si>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</si>
  <si>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</si>
  <si>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</si>
  <si>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</si>
  <si>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</si>
  <si>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</si>
  <si>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</si>
  <si>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</si>
  <si>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</si>
  <si>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</si>
  <si>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</si>
  <si>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</si>
  <si>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</si>
  <si>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</si>
  <si>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</si>
  <si>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</si>
  <si>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</si>
  <si>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</si>
  <si>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</si>
  <si>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</si>
  <si>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</si>
  <si>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</si>
  <si>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</si>
  <si>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</si>
  <si>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</si>
  <si>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</si>
  <si>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</si>
  <si>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</si>
  <si>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</si>
  <si>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</si>
  <si>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</si>
  <si>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</si>
  <si>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</si>
  <si>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</si>
  <si>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</si>
  <si>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</si>
  <si>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</si>
  <si>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</si>
  <si>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</si>
  <si>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</si>
  <si>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</si>
  <si>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</si>
  <si>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</si>
  <si>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</si>
  <si>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</si>
  <si>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</si>
  <si>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</si>
  <si>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</si>
  <si>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</si>
  <si>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</si>
  <si>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</si>
  <si>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</si>
  <si>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</si>
  <si>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</si>
  <si>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</si>
  <si>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</si>
  <si>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</si>
  <si>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</si>
  <si>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</si>
  <si>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</si>
  <si>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</si>
  <si>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</si>
  <si>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</si>
  <si>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</si>
  <si>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</si>
  <si>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</si>
  <si>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</si>
  <si>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</si>
  <si>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</si>
  <si>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</si>
  <si>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</si>
  <si>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</si>
  <si>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</si>
  <si>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</si>
  <si>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</si>
  <si>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</si>
  <si>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</si>
  <si>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</si>
  <si>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</si>
  <si>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</si>
  <si>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</si>
  <si>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</si>
  <si>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</si>
  <si>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</si>
  <si>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</si>
  <si>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</si>
  <si>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</si>
  <si>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</si>
  <si>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</si>
  <si>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</si>
  <si>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</si>
  <si>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</si>
  <si>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</si>
  <si>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</si>
  <si>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</si>
  <si>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</si>
  <si>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</si>
  <si>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</si>
  <si>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</si>
  <si>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</si>
  <si>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</si>
  <si>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</si>
  <si>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</si>
  <si>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</si>
  <si>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</si>
  <si>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</si>
  <si>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</si>
  <si>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</si>
  <si>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</si>
  <si>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</si>
  <si>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</si>
  <si>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</si>
  <si>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</si>
  <si>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</si>
  <si>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</si>
  <si>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</si>
  <si>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</si>
  <si>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</si>
  <si>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</si>
  <si>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</si>
  <si>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</si>
  <si>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</si>
  <si>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</si>
  <si>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</si>
  <si>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</si>
  <si>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</si>
  <si>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</si>
  <si>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</si>
  <si>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</si>
  <si>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</si>
  <si>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</si>
  <si>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</si>
  <si>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</si>
  <si>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</si>
  <si>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</si>
  <si>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</si>
  <si>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</si>
  <si>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</si>
  <si>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</si>
  <si>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</si>
  <si>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</si>
  <si>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</si>
  <si>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</si>
  <si>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</si>
  <si>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</si>
  <si>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</si>
  <si>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</si>
  <si>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</si>
  <si>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</si>
  <si>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</si>
  <si>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</si>
  <si>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</si>
  <si>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</si>
  <si>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</si>
  <si>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</si>
  <si>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</si>
  <si>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</si>
  <si>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</si>
  <si>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</si>
  <si>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</si>
  <si>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</si>
  <si>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</si>
  <si>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</si>
  <si>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</si>
  <si>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</si>
  <si>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</si>
  <si>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</si>
  <si>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</si>
  <si>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</si>
  <si>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</si>
  <si>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</si>
  <si>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</si>
  <si>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</si>
  <si>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</si>
  <si>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</si>
  <si>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</si>
  <si>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</si>
  <si>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</si>
  <si>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</si>
  <si>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</si>
  <si>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</si>
  <si>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</si>
  <si>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</si>
  <si>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</si>
  <si>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</si>
  <si>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</si>
  <si>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</si>
  <si>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</si>
  <si>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</si>
  <si>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</si>
  <si>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</si>
  <si>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</si>
  <si>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</si>
  <si>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</si>
  <si>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</si>
  <si>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</si>
  <si>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</si>
  <si>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</si>
  <si>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</si>
  <si>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</si>
  <si>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</si>
  <si>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</si>
  <si>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</si>
  <si>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</si>
  <si>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</si>
  <si>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</si>
  <si>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</si>
  <si>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</si>
  <si>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</si>
  <si>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</si>
  <si>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</si>
  <si>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</si>
  <si>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</si>
  <si>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</si>
  <si>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</si>
  <si>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</si>
  <si>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</si>
  <si>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</si>
  <si>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</si>
  <si>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</si>
  <si>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</si>
  <si>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</si>
  <si>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</si>
  <si>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</si>
  <si>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</si>
  <si>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</si>
  <si>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</si>
  <si>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</si>
  <si>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</si>
  <si>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</si>
  <si>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</si>
  <si>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</si>
  <si>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</si>
  <si>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</si>
  <si>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</si>
  <si>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</si>
  <si>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</si>
  <si>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</si>
  <si>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</si>
  <si>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</si>
  <si>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</si>
  <si>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</si>
  <si>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</si>
  <si>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</si>
  <si>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</si>
  <si>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</si>
  <si>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</si>
  <si>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</si>
  <si>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</si>
  <si>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</si>
  <si>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</si>
  <si>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</si>
  <si>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</si>
  <si>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</si>
  <si>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</si>
  <si>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</si>
  <si>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</si>
  <si>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</si>
  <si>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</si>
  <si>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</si>
  <si>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</si>
  <si>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</si>
  <si>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</si>
  <si>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</si>
  <si>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</si>
  <si>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</si>
  <si>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</si>
  <si>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</si>
  <si>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</si>
  <si>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</si>
  <si>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</si>
  <si>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</si>
  <si>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</si>
  <si>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</si>
  <si>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</si>
  <si>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</si>
  <si>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</si>
  <si>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</si>
  <si>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</si>
  <si>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</si>
  <si>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</si>
  <si>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</si>
  <si>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</si>
  <si>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</si>
  <si>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</si>
  <si>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</si>
  <si>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</si>
  <si>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</si>
  <si>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</si>
  <si>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</si>
  <si>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</si>
  <si>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</si>
  <si>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</si>
  <si>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</si>
  <si>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</si>
  <si>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</si>
  <si>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</si>
  <si>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</si>
  <si>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</si>
  <si>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</si>
  <si>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</si>
  <si>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</si>
  <si>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</si>
  <si>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</si>
  <si>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</si>
  <si>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</si>
  <si>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</si>
  <si>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</si>
  <si>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</si>
  <si>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</si>
  <si>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</si>
  <si>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</si>
  <si>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</si>
  <si>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</si>
  <si>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</si>
  <si>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</si>
  <si>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</si>
  <si>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</si>
  <si>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</si>
  <si>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</si>
  <si>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</si>
  <si>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</si>
  <si>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</si>
  <si>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</si>
  <si>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</si>
  <si>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</si>
  <si>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</si>
  <si>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</si>
  <si>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</si>
  <si>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</si>
  <si>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</si>
  <si>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</si>
  <si>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</si>
  <si>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</si>
  <si>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</si>
  <si>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</si>
  <si>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</si>
  <si>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</si>
  <si>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</si>
  <si>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</si>
  <si>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</si>
  <si>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</si>
  <si>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</si>
  <si>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</si>
  <si>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</si>
  <si>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</si>
  <si>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</si>
  <si>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</si>
  <si>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</si>
  <si>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</si>
  <si>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</si>
  <si>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</si>
  <si>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</si>
  <si>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</si>
  <si>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</si>
  <si>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</si>
  <si>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</si>
  <si>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</si>
  <si>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</si>
  <si>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</si>
  <si>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</si>
  <si>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</si>
  <si>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</si>
  <si>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</si>
  <si>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</si>
  <si>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</si>
  <si>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</si>
  <si>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</si>
  <si>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</si>
  <si>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</si>
  <si>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</si>
  <si>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</si>
  <si>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</si>
  <si>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</si>
  <si>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</si>
  <si>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</si>
  <si>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</si>
  <si>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</si>
  <si>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</si>
  <si>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</si>
  <si>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</si>
  <si>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</si>
  <si>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</si>
  <si>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</si>
  <si>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</si>
  <si>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</si>
  <si>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</si>
  <si>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</si>
  <si>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</si>
  <si>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</si>
  <si>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</si>
  <si>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</si>
  <si>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</si>
  <si>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</si>
  <si>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</si>
  <si>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</si>
  <si>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</si>
  <si>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</si>
  <si>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</si>
  <si>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</si>
  <si>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</si>
  <si>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</si>
  <si>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</si>
  <si>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</si>
  <si>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</si>
  <si>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</si>
  <si>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</si>
  <si>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</si>
  <si>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</si>
  <si>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</si>
  <si>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</si>
  <si>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</si>
  <si>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</si>
  <si>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</si>
  <si>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</si>
  <si>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</si>
  <si>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</si>
  <si>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</si>
  <si>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</si>
  <si>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</si>
  <si>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</si>
  <si>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</si>
  <si>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</si>
  <si>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</si>
  <si>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</si>
  <si>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</si>
  <si>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</si>
  <si>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</si>
  <si>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</si>
  <si>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</si>
  <si>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</si>
  <si>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</si>
  <si>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</si>
  <si>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</si>
  <si>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</si>
  <si>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</si>
  <si>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</si>
  <si>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</si>
  <si>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</si>
  <si>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</si>
  <si>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</si>
  <si>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</si>
  <si>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</si>
  <si>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</si>
  <si>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</si>
  <si>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</si>
  <si>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</si>
  <si>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</si>
  <si>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</si>
  <si>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</si>
  <si>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</si>
  <si>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</si>
  <si>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</si>
  <si>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</si>
  <si>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</si>
  <si>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</si>
  <si>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</si>
  <si>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</si>
  <si>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</si>
  <si>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</si>
  <si>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</si>
  <si>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</si>
  <si>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</si>
  <si>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</si>
  <si>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</si>
  <si>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</si>
  <si>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</si>
  <si>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</si>
  <si>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</si>
  <si>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</si>
  <si>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</si>
  <si>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</si>
  <si>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</si>
  <si>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</si>
  <si>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</si>
  <si>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</si>
  <si>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</si>
  <si>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</si>
  <si>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</si>
  <si>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</si>
  <si>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</si>
  <si>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</si>
  <si>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</si>
  <si>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</si>
  <si>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</si>
  <si>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</si>
  <si>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</si>
  <si>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</si>
  <si>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</si>
  <si>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</si>
  <si>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</si>
  <si>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</si>
  <si>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</si>
  <si>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</si>
  <si>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</si>
  <si>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</si>
  <si>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</si>
  <si>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</si>
  <si>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</si>
  <si>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</si>
  <si>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</si>
  <si>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</si>
  <si>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</si>
  <si>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</si>
  <si>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</si>
  <si>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</si>
  <si>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</si>
  <si>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</si>
  <si>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</si>
  <si>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</si>
  <si>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</si>
  <si>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</si>
  <si>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</si>
  <si>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</si>
  <si>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</si>
  <si>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</si>
  <si>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</si>
  <si>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</si>
  <si>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</si>
  <si>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</si>
  <si>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</si>
  <si>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</si>
  <si>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</si>
  <si>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</si>
  <si>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</si>
  <si>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</si>
  <si>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</si>
  <si>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</si>
  <si>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</si>
  <si>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</si>
  <si>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</si>
  <si>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</si>
  <si>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</si>
  <si>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</si>
  <si>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</si>
  <si>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</si>
  <si>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</si>
  <si>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</si>
  <si>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</si>
  <si>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</si>
  <si>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</si>
  <si>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</si>
  <si>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</si>
  <si>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</si>
  <si>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</si>
  <si>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</si>
  <si>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</si>
  <si>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</si>
  <si>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</si>
  <si>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</si>
  <si>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</si>
  <si>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</si>
  <si>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</si>
  <si>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</si>
  <si>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</si>
  <si>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</si>
  <si>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</si>
  <si>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</si>
  <si>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</si>
  <si>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</si>
  <si>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</si>
  <si>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</si>
  <si>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</si>
  <si>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</si>
  <si>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</si>
  <si>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</si>
  <si>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</si>
  <si>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</si>
  <si>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</si>
  <si>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</si>
  <si>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</si>
  <si>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</si>
  <si>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</si>
  <si>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</si>
  <si>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</si>
  <si>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</si>
  <si>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</si>
  <si>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</si>
  <si>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</si>
  <si>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</si>
  <si>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</si>
  <si>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</si>
  <si>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</si>
  <si>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</si>
  <si>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</si>
  <si>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</si>
  <si>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</si>
  <si>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</si>
  <si>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</si>
  <si>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</si>
  <si>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</si>
  <si>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</si>
  <si>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</si>
  <si>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</si>
  <si>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</si>
  <si>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</si>
  <si>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</si>
  <si>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</si>
  <si>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</si>
  <si>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</si>
  <si>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</si>
  <si>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</si>
  <si>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</si>
  <si>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</si>
  <si>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</si>
  <si>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</si>
  <si>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</si>
  <si>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</si>
  <si>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</si>
  <si>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</si>
  <si>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</si>
  <si>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</si>
  <si>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</si>
  <si>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</si>
  <si>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</si>
  <si>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</si>
  <si>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</si>
  <si>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</si>
  <si>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</si>
  <si>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</si>
  <si>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</si>
  <si>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</si>
  <si>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</si>
  <si>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</si>
  <si>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</si>
  <si>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</si>
  <si>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</si>
  <si>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</si>
  <si>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</si>
  <si>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</si>
  <si>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</si>
  <si>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</si>
  <si>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</si>
  <si>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</si>
  <si>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</si>
  <si>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</si>
  <si>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</si>
  <si>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</si>
  <si>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</si>
  <si>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</si>
  <si>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</si>
  <si>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</si>
  <si>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</si>
  <si>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</si>
  <si>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</si>
  <si>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</si>
  <si>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</si>
  <si>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</si>
  <si>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</si>
  <si>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</si>
  <si>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</si>
  <si>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</si>
  <si>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</si>
  <si>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</si>
  <si>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</si>
  <si>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</si>
  <si>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</si>
  <si>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</si>
  <si>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</si>
  <si>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</si>
  <si>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</si>
  <si>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</si>
  <si>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</si>
  <si>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</si>
  <si>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</si>
  <si>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</si>
  <si>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</si>
  <si>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</si>
  <si>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</si>
  <si>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</si>
  <si>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</si>
  <si>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</si>
  <si>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</si>
  <si>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</si>
  <si>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</si>
  <si>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</si>
  <si>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</si>
  <si>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</si>
  <si>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</si>
  <si>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</si>
  <si>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</si>
  <si>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</si>
  <si>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</si>
  <si>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</si>
  <si>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</si>
  <si>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</si>
  <si>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</si>
  <si>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</si>
  <si>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</si>
  <si>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</si>
  <si>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</si>
  <si>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</si>
  <si>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</si>
  <si>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</si>
  <si>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</si>
  <si>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</si>
  <si>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</si>
  <si>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</si>
  <si>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</si>
  <si>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</si>
  <si>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</si>
  <si>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</si>
  <si>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</si>
  <si>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</si>
  <si>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</si>
  <si>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</si>
  <si>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</si>
  <si>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</si>
  <si>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</si>
  <si>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</si>
  <si>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</si>
  <si>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</si>
  <si>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</si>
  <si>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</si>
  <si>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</si>
  <si>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</si>
  <si>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</si>
  <si>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</si>
  <si>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</si>
  <si>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</si>
  <si>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</si>
  <si>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</si>
  <si>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</si>
  <si>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</si>
  <si>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</si>
  <si>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</si>
  <si>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</si>
  <si>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</si>
  <si>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</si>
  <si>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</si>
  <si>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</si>
  <si>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</si>
  <si>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</si>
  <si>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</si>
  <si>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</si>
  <si>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</si>
  <si>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</si>
  <si>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</si>
  <si>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</si>
  <si>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</si>
  <si>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</si>
  <si>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</si>
  <si>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</si>
  <si>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</si>
  <si>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</si>
  <si>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</si>
  <si>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</si>
  <si>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</si>
  <si>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</si>
  <si>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</si>
  <si>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</si>
  <si>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</si>
  <si>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</si>
  <si>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</si>
  <si>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</si>
  <si>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</si>
  <si>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</si>
  <si>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</si>
  <si>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</si>
  <si>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</si>
  <si>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</si>
  <si>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</si>
  <si>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</si>
  <si>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</si>
  <si>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</si>
  <si>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</si>
  <si>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</si>
  <si>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</si>
  <si>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</si>
  <si>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</si>
  <si>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</si>
  <si>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</si>
  <si>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</si>
  <si>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</si>
  <si>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</si>
  <si>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</si>
  <si>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</si>
  <si>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</si>
  <si>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</si>
  <si>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</si>
  <si>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</si>
  <si>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</si>
  <si>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</si>
  <si>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</si>
  <si>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</si>
  <si>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</si>
  <si>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</si>
  <si>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</si>
  <si>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</si>
  <si>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</si>
  <si>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</si>
  <si>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</si>
  <si>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</si>
  <si>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</si>
  <si>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</si>
  <si>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</si>
  <si>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</si>
  <si>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</si>
  <si>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</si>
  <si>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</si>
  <si>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</si>
  <si>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</si>
  <si>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</si>
  <si>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</si>
  <si>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</si>
  <si>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</si>
  <si>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</si>
  <si>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</si>
  <si>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</si>
  <si>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</si>
  <si>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</si>
  <si>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</si>
  <si>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</si>
  <si>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</si>
  <si>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</si>
  <si>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</si>
  <si>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</si>
  <si>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</si>
  <si>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</si>
  <si>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</si>
  <si>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</si>
  <si>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</si>
  <si>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</si>
  <si>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</si>
  <si>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</si>
  <si>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</si>
  <si>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</si>
  <si>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</si>
  <si>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</si>
  <si>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</si>
  <si>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</si>
  <si>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</si>
  <si>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</si>
  <si>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</si>
  <si>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</si>
  <si>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</si>
  <si>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</si>
  <si>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</si>
  <si>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</si>
  <si>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</si>
  <si>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</si>
  <si>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</si>
  <si>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</si>
  <si>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</si>
  <si>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</si>
  <si>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</si>
  <si>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</si>
  <si>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</si>
  <si>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</si>
  <si>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</si>
  <si>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</si>
  <si>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</si>
  <si>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</si>
  <si>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</si>
  <si>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</si>
  <si>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</si>
  <si>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</si>
  <si>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</si>
  <si>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</si>
  <si>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</si>
  <si>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</si>
  <si>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</si>
  <si>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</si>
  <si>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</si>
  <si>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</si>
  <si>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</si>
  <si>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</si>
  <si>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</si>
  <si>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</si>
  <si>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</si>
  <si>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</si>
  <si>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</si>
  <si>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</si>
  <si>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</si>
  <si>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</si>
  <si>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</si>
  <si>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</si>
  <si>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</si>
  <si>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</si>
  <si>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</si>
  <si>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</si>
  <si>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</si>
  <si>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</si>
  <si>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</si>
  <si>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</si>
  <si>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</si>
  <si>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</si>
  <si>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</si>
  <si>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</si>
  <si>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</si>
  <si>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</si>
  <si>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</si>
  <si>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</si>
  <si>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</si>
  <si>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</si>
  <si>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</si>
  <si>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</si>
  <si>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</si>
  <si>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</si>
  <si>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</si>
  <si>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</si>
  <si>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</si>
  <si>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</si>
  <si>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</si>
  <si>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</si>
  <si>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</si>
  <si>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</si>
  <si>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</si>
  <si>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</si>
  <si>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</si>
  <si>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</si>
  <si>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</si>
  <si>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</si>
  <si>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</si>
  <si>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</si>
  <si>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</si>
  <si>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</si>
  <si>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</si>
  <si>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</si>
  <si>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</si>
  <si>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</si>
  <si>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</si>
  <si>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</si>
  <si>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</si>
  <si>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</si>
  <si>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</si>
  <si>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</si>
  <si>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</si>
  <si>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</si>
  <si>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</si>
  <si>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</si>
  <si>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</si>
  <si>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</si>
  <si>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</si>
  <si>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</si>
  <si>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</si>
  <si>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</si>
  <si>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</si>
  <si>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</si>
  <si>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</si>
  <si>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</si>
  <si>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</si>
  <si>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</si>
  <si>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</si>
  <si>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</si>
  <si>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</si>
  <si>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</si>
  <si>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</si>
  <si>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</si>
  <si>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</si>
  <si>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</si>
  <si>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</si>
  <si>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</si>
  <si>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</si>
  <si>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</si>
  <si>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</si>
  <si>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</si>
  <si>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</si>
  <si>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</si>
  <si>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</si>
  <si>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</si>
  <si>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</si>
  <si>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</si>
  <si>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</si>
  <si>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</si>
  <si>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</si>
  <si>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</si>
  <si>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</si>
  <si>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</si>
  <si>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</si>
  <si>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</si>
  <si>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</si>
  <si>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</si>
  <si>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</si>
  <si>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</si>
  <si>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</si>
  <si>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</si>
  <si>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</si>
  <si>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</si>
  <si>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</si>
  <si>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</si>
  <si>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</si>
  <si>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</si>
  <si>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</si>
  <si>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</si>
  <si>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</si>
  <si>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</si>
  <si>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</si>
  <si>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</si>
  <si>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</si>
  <si>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</si>
  <si>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</si>
  <si>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</si>
  <si>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</si>
  <si>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</si>
  <si>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</si>
  <si>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</si>
  <si>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</si>
  <si>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</si>
  <si>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</si>
  <si>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</si>
  <si>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</si>
  <si>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</si>
  <si>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</si>
  <si>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</si>
  <si>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</si>
  <si>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</si>
  <si>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</si>
  <si>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</si>
  <si>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</si>
  <si>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</si>
  <si>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</si>
  <si>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</si>
  <si>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</si>
  <si>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</si>
  <si>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</si>
  <si>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</si>
  <si>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</si>
  <si>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</si>
  <si>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</si>
  <si>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</si>
  <si>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</si>
  <si>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</si>
  <si>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</si>
  <si>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</si>
  <si>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</si>
  <si>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</si>
  <si>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</si>
  <si>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</si>
  <si>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</si>
  <si>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</si>
  <si>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</si>
  <si>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</si>
  <si>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</si>
  <si>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</si>
  <si>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</si>
  <si>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</si>
  <si>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</si>
  <si>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</si>
  <si>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</si>
  <si>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</si>
  <si>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</si>
  <si>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</si>
  <si>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</si>
  <si>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</si>
  <si>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</si>
  <si>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</si>
  <si>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</si>
  <si>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</si>
  <si>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</si>
  <si>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</si>
  <si>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</si>
  <si>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</si>
  <si>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</si>
  <si>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</si>
  <si>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</si>
  <si>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</si>
  <si>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</si>
  <si>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</si>
  <si>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</si>
  <si>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</si>
  <si>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</si>
  <si>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</si>
  <si>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</si>
  <si>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</si>
  <si>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</si>
  <si>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</si>
  <si>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</si>
  <si>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</si>
  <si>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</si>
  <si>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</si>
  <si>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</si>
  <si>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</si>
  <si>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</si>
  <si>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</si>
  <si>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</si>
  <si>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</si>
  <si>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</si>
  <si>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</si>
  <si>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</si>
  <si>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</si>
  <si>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</si>
  <si>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</si>
  <si>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</si>
  <si>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</si>
  <si>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</si>
  <si>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</si>
  <si>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</si>
  <si>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</si>
  <si>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</si>
  <si>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</si>
  <si>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</si>
  <si>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</si>
  <si>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</si>
  <si>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</si>
  <si>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</si>
  <si>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</si>
  <si>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</si>
  <si>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</si>
  <si>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</si>
  <si>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</si>
  <si>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</si>
  <si>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</si>
  <si>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</si>
  <si>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</si>
  <si>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</si>
  <si>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</si>
  <si>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</si>
  <si>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</si>
  <si>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</si>
  <si>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</si>
  <si>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</si>
  <si>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</si>
  <si>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</si>
  <si>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</si>
  <si>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</si>
  <si>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</si>
  <si>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</si>
  <si>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</si>
  <si>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</si>
  <si>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</si>
  <si>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</si>
  <si>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</si>
  <si>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</si>
  <si>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</si>
  <si>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</si>
  <si>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</si>
  <si>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</si>
  <si>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</si>
  <si>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</si>
  <si>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</si>
  <si>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</si>
  <si>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</si>
  <si>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</si>
  <si>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</si>
  <si>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</si>
  <si>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</si>
  <si>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</si>
  <si>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</si>
  <si>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</si>
  <si>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</si>
  <si>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</si>
  <si>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</si>
  <si>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</si>
  <si>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</si>
  <si>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</si>
  <si>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</si>
  <si>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</si>
  <si>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</si>
  <si>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</si>
  <si>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</si>
  <si>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</si>
  <si>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</si>
  <si>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</si>
  <si>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</si>
  <si>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</si>
  <si>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</si>
  <si>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</si>
  <si>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</si>
  <si>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</si>
  <si>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</si>
  <si>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</si>
  <si>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</si>
  <si>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</si>
  <si>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</si>
  <si>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</si>
  <si>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</si>
  <si>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</si>
  <si>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</si>
  <si>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</si>
  <si>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</si>
  <si>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</si>
  <si>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</si>
  <si>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</si>
  <si>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</si>
  <si>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</si>
  <si>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</si>
  <si>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</si>
  <si>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</si>
  <si>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</si>
  <si>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</si>
  <si>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</si>
  <si>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</si>
  <si>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</si>
  <si>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</si>
  <si>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</si>
  <si>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</si>
  <si>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</si>
  <si>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</si>
  <si>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</si>
  <si>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</si>
  <si>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</si>
  <si>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</si>
  <si>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</si>
  <si>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</si>
  <si>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</si>
  <si>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</si>
  <si>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</si>
  <si>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</si>
  <si>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</si>
  <si>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</si>
  <si>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</si>
  <si>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</si>
  <si>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</si>
  <si>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</si>
  <si>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</si>
  <si>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</si>
  <si>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</si>
  <si>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</si>
  <si>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</si>
  <si>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</si>
  <si>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</si>
  <si>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</si>
  <si>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</si>
  <si>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</si>
  <si>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</si>
  <si>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</si>
  <si>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</si>
  <si>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</si>
  <si>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</si>
  <si>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</si>
  <si>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</si>
  <si>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</si>
  <si>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</si>
  <si>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</si>
  <si>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</si>
  <si>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</si>
  <si>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</si>
  <si>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</si>
  <si>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</si>
  <si>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</si>
  <si>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</si>
  <si>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</si>
  <si>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</si>
  <si>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</si>
  <si>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</si>
  <si>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</si>
  <si>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</si>
  <si>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</si>
  <si>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</si>
  <si>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</si>
  <si>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</si>
  <si>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</si>
  <si>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</si>
  <si>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</si>
  <si>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</si>
  <si>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</si>
  <si>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</si>
  <si>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</si>
  <si>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</si>
  <si>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</si>
  <si>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</si>
  <si>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</si>
  <si>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</si>
  <si>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</si>
  <si>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</si>
  <si>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</si>
  <si>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</si>
  <si>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</si>
  <si>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</si>
  <si>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</si>
  <si>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</si>
  <si>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</si>
  <si>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</si>
  <si>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</si>
  <si>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</si>
  <si>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</si>
  <si>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</si>
  <si>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</si>
  <si>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</si>
  <si>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</si>
  <si>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</si>
  <si>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</si>
  <si>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</si>
  <si>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</si>
  <si>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</si>
  <si>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</si>
  <si>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</si>
  <si>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</si>
  <si>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</si>
  <si>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</si>
  <si>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</si>
  <si>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</si>
  <si>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</si>
  <si>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</si>
  <si>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</si>
  <si>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</si>
  <si>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</si>
  <si>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</si>
  <si>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</si>
  <si>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</si>
  <si>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</si>
  <si>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</si>
  <si>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</si>
  <si>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</si>
  <si>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</si>
  <si>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</si>
  <si>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</si>
  <si>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</si>
  <si>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</si>
  <si>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</si>
  <si>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</si>
  <si>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</si>
  <si>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</si>
  <si>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</si>
  <si>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</si>
  <si>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</si>
  <si>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</si>
  <si>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</si>
  <si>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</si>
  <si>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</si>
  <si>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</si>
  <si>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</si>
  <si>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</si>
  <si>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</si>
  <si>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</si>
  <si>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</si>
  <si>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</si>
  <si>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</si>
  <si>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</si>
  <si>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</si>
  <si>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</si>
  <si>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</si>
  <si>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</si>
  <si>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</si>
  <si>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</si>
  <si>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</si>
  <si>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</si>
  <si>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</si>
  <si>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</si>
  <si>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</si>
  <si>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</si>
  <si>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</si>
  <si>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</si>
  <si>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</si>
  <si>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</si>
  <si>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</si>
  <si>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</si>
  <si>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</si>
  <si>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</si>
  <si>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</si>
  <si>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</si>
  <si>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</si>
  <si>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</si>
  <si>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</si>
  <si>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</si>
  <si>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</si>
  <si>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</si>
  <si>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</si>
  <si>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</si>
  <si>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</si>
  <si>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</si>
  <si>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</si>
  <si>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</si>
  <si>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</si>
  <si>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</si>
  <si>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</si>
  <si>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</si>
  <si>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</si>
  <si>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</si>
  <si>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</si>
  <si>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</si>
  <si>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</si>
  <si>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</si>
  <si>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</si>
  <si>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</si>
  <si>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</si>
  <si>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</si>
  <si>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</si>
  <si>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</si>
  <si>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</si>
  <si>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</si>
  <si>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</si>
  <si>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</si>
  <si>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</si>
  <si>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</si>
  <si>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</si>
  <si>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</si>
  <si>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</si>
  <si>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</si>
  <si>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</si>
  <si>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</si>
  <si>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</si>
  <si>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</si>
  <si>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</si>
  <si>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</si>
  <si>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</si>
  <si>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</si>
  <si>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</si>
  <si>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</si>
  <si>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</si>
  <si>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</si>
  <si>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</si>
  <si>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</si>
  <si>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</si>
  <si>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</si>
  <si>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</si>
  <si>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</si>
  <si>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</si>
  <si>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</si>
  <si>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</si>
  <si>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</si>
  <si>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</si>
  <si>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</si>
  <si>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</si>
  <si>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</si>
  <si>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</si>
  <si>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</si>
  <si>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</si>
  <si>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</si>
  <si>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</si>
  <si>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</si>
  <si>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</si>
  <si>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</si>
  <si>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</si>
  <si>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</si>
  <si>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</si>
  <si>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</si>
  <si>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</si>
  <si>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</si>
  <si>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</si>
  <si>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</si>
  <si>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</si>
  <si>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</si>
  <si>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</si>
  <si>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</si>
  <si>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</si>
  <si>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</si>
  <si>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</si>
  <si>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</si>
  <si>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</si>
  <si>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</si>
  <si>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</si>
  <si>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</si>
  <si>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</si>
  <si>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</si>
  <si>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</si>
  <si>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</si>
  <si>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</si>
  <si>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</si>
  <si>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</si>
  <si>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</si>
  <si>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</si>
  <si>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</si>
  <si>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</si>
  <si>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</si>
  <si>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</si>
  <si>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</si>
  <si>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</si>
  <si>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</si>
  <si>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</si>
  <si>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</si>
  <si>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</si>
  <si>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</si>
  <si>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</si>
  <si>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</si>
  <si>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</si>
  <si>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</si>
  <si>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</si>
  <si>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</si>
  <si>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</si>
  <si>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</si>
  <si>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</si>
  <si>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</si>
  <si>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</si>
  <si>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</si>
  <si>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</si>
  <si>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</si>
  <si>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</si>
  <si>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</si>
  <si>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</si>
  <si>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</si>
  <si>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</si>
  <si>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</si>
  <si>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</si>
  <si>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</si>
  <si>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</si>
  <si>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</si>
  <si>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</si>
  <si>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</si>
  <si>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</si>
  <si>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</si>
  <si>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</si>
  <si>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</si>
  <si>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</si>
  <si>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</si>
  <si>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</si>
  <si>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</si>
  <si>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</si>
  <si>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</si>
  <si>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</si>
  <si>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</si>
  <si>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</si>
  <si>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</si>
  <si>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</si>
  <si>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</si>
  <si>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</si>
  <si>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</si>
  <si>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</si>
  <si>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</si>
  <si>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</si>
  <si>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</si>
  <si>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</si>
  <si>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</si>
  <si>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</si>
  <si>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</si>
  <si>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</si>
  <si>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</si>
  <si>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</si>
  <si>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</si>
  <si>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</si>
  <si>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</si>
  <si>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</si>
  <si>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</si>
  <si>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</si>
  <si>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</si>
  <si>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</si>
  <si>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</si>
  <si>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</si>
  <si>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</si>
  <si>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</si>
  <si>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</si>
  <si>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</si>
  <si>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</si>
  <si>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</si>
  <si>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</si>
  <si>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</si>
  <si>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</si>
  <si>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</si>
  <si>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</si>
  <si>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</si>
  <si>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</si>
  <si>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</si>
  <si>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</si>
  <si>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</si>
  <si>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</si>
  <si>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</si>
  <si>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</si>
  <si>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</si>
  <si>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</si>
  <si>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</si>
  <si>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</si>
  <si>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</si>
  <si>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</si>
  <si>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</si>
  <si>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</si>
  <si>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</si>
  <si>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</si>
  <si>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</si>
  <si>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</si>
  <si>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</si>
  <si>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</si>
  <si>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</si>
  <si>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</si>
  <si>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</si>
  <si>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</si>
  <si>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</si>
  <si>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</si>
  <si>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</si>
  <si>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</si>
  <si>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</si>
  <si>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</si>
  <si>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</si>
  <si>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</si>
  <si>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</si>
  <si>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</si>
  <si>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</si>
  <si>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</si>
  <si>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</si>
  <si>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</si>
  <si>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</si>
  <si>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</si>
  <si>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</si>
  <si>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</si>
  <si>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</si>
  <si>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</si>
  <si>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</si>
  <si>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</si>
  <si>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</si>
  <si>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</si>
  <si>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</si>
  <si>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</si>
  <si>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</si>
  <si>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</si>
  <si>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</si>
  <si>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</si>
  <si>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</si>
  <si>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</si>
  <si>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</si>
  <si>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</si>
  <si>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</si>
  <si>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</si>
  <si>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</si>
  <si>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</si>
  <si>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</si>
  <si>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</si>
  <si>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</si>
  <si>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</si>
  <si>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</si>
  <si>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</si>
  <si>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</si>
  <si>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</si>
  <si>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</si>
  <si>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</si>
  <si>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</si>
  <si>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</si>
  <si>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</si>
  <si>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</si>
  <si>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</si>
  <si>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</si>
  <si>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</si>
  <si>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</si>
  <si>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</si>
  <si>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</si>
  <si>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</si>
  <si>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</si>
  <si>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</si>
  <si>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</si>
  <si>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</si>
  <si>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</si>
  <si>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</si>
  <si>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</si>
  <si>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</si>
  <si>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</si>
  <si>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</si>
  <si>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</si>
  <si>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</si>
  <si>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</si>
  <si>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</si>
  <si>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</si>
  <si>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</si>
  <si>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</si>
  <si>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</si>
  <si>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</si>
  <si>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</si>
  <si>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</si>
  <si>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</si>
  <si>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</si>
  <si>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</si>
  <si>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</si>
  <si>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</si>
  <si>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</si>
  <si>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</si>
  <si>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</si>
  <si>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</si>
  <si>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</si>
  <si>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</si>
  <si>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</si>
  <si>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</si>
  <si>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</si>
  <si>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</si>
  <si>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</si>
  <si>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</si>
  <si>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</si>
  <si>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</si>
  <si>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</si>
  <si>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</si>
  <si>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</si>
  <si>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</si>
  <si>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</si>
  <si>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</si>
  <si>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</si>
  <si>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</si>
  <si>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</si>
  <si>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</si>
  <si>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</si>
  <si>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</si>
  <si>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</si>
  <si>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</si>
  <si>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</si>
  <si>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</si>
  <si>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</si>
  <si>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</si>
  <si>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</si>
  <si>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</si>
  <si>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</si>
  <si>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</si>
  <si>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</si>
  <si>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</si>
  <si>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</si>
  <si>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</si>
  <si>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</si>
  <si>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</si>
  <si>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</si>
  <si>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</si>
  <si>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</si>
  <si>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</si>
  <si>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</si>
  <si>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</si>
  <si>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</si>
  <si>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</si>
  <si>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</si>
  <si>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</si>
  <si>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</si>
  <si>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</si>
  <si>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</si>
  <si>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</si>
  <si>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</si>
  <si>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</si>
  <si>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</si>
  <si>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</si>
  <si>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</si>
  <si>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</si>
  <si>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</si>
  <si>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</si>
  <si>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</si>
  <si>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</si>
  <si>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</si>
  <si>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</si>
  <si>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</si>
  <si>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</si>
  <si>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</si>
  <si>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</si>
  <si>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</si>
  <si>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</si>
  <si>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</si>
  <si>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</si>
  <si>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</si>
  <si>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</si>
  <si>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</si>
  <si>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</si>
  <si>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</si>
  <si>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</si>
  <si>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</si>
  <si>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</si>
  <si>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</si>
  <si>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</si>
  <si>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</si>
  <si>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</si>
  <si>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</si>
  <si>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</si>
  <si>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</si>
  <si>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</si>
  <si>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</si>
  <si>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</si>
  <si>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</si>
  <si>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</si>
  <si>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</si>
  <si>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</si>
  <si>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</si>
  <si>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</si>
  <si>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</si>
  <si>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</si>
  <si>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</si>
  <si>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</si>
  <si>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</si>
  <si>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</si>
  <si>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</si>
  <si>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</si>
  <si>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</si>
  <si>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</si>
  <si>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</si>
  <si>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</si>
  <si>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</si>
  <si>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</si>
  <si>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</si>
  <si>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</si>
  <si>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</si>
  <si>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</si>
  <si>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</si>
  <si>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</si>
  <si>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</si>
  <si>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</si>
  <si>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</si>
  <si>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</si>
  <si>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</si>
  <si>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</si>
  <si>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</si>
  <si>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</si>
  <si>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</si>
  <si>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</si>
  <si>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</si>
  <si>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</si>
  <si>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</si>
  <si>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</si>
  <si>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</si>
  <si>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</si>
  <si>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</si>
  <si>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</si>
  <si>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</si>
  <si>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</si>
  <si>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</si>
  <si>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</si>
  <si>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</si>
  <si>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</si>
  <si>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</si>
  <si>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</si>
  <si>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</si>
  <si>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</si>
  <si>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</si>
  <si>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</si>
  <si>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</si>
  <si>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</si>
  <si>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</si>
  <si>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</si>
  <si>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</si>
  <si>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</si>
  <si>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</si>
  <si>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</si>
  <si>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</si>
  <si>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</si>
  <si>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</si>
  <si>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</si>
  <si>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</si>
  <si>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</si>
  <si>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</si>
  <si>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</si>
  <si>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</si>
  <si>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</si>
  <si>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</si>
  <si>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</si>
  <si>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</si>
  <si>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</si>
  <si>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</si>
  <si>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</si>
  <si>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</si>
  <si>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</si>
  <si>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</si>
  <si>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</si>
  <si>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</si>
  <si>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</si>
  <si>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</si>
  <si>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</si>
  <si>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</si>
  <si>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</si>
  <si>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</si>
  <si>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</si>
  <si>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</si>
  <si>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</si>
  <si>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</si>
  <si>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</si>
  <si>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</si>
  <si>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</si>
  <si>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</si>
  <si>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</si>
  <si>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</si>
  <si>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</si>
  <si>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</si>
  <si>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</si>
  <si>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</si>
  <si>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</si>
  <si>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</si>
  <si>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</si>
  <si>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</si>
  <si>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</si>
  <si>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</si>
  <si>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</si>
  <si>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</si>
  <si>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</si>
  <si>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</si>
  <si>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</si>
  <si>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</si>
  <si>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</si>
  <si>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</si>
  <si>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</si>
  <si>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</si>
  <si>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</si>
  <si>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</si>
  <si>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</si>
  <si>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</si>
  <si>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</si>
  <si>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</si>
  <si>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</si>
  <si>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</si>
  <si>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</si>
  <si>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</si>
  <si>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</si>
  <si>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</si>
  <si>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</si>
  <si>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</si>
  <si>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</si>
  <si>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</si>
  <si>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</si>
  <si>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</si>
  <si>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</si>
  <si>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</si>
  <si>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</si>
  <si>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</si>
  <si>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</si>
  <si>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</si>
  <si>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</si>
  <si>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</si>
  <si>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</si>
  <si>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</si>
  <si>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</si>
  <si>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</si>
  <si>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</si>
  <si>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</si>
  <si>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</si>
  <si>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</si>
  <si>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</si>
  <si>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</si>
  <si>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</si>
  <si>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</si>
  <si>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</si>
  <si>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</si>
  <si>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</si>
  <si>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</si>
  <si>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</si>
  <si>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</si>
  <si>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</si>
  <si>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</si>
  <si>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</si>
  <si>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</si>
  <si>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</si>
  <si>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</si>
  <si>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</si>
  <si>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</si>
  <si>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</si>
  <si>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</si>
  <si>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</si>
  <si>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</si>
  <si>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</si>
  <si>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</si>
  <si>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</si>
  <si>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</si>
  <si>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</si>
  <si>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</si>
  <si>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</si>
  <si>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</si>
  <si>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</si>
  <si>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</si>
  <si>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</si>
  <si>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</si>
  <si>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</si>
  <si>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</si>
  <si>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</si>
  <si>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</si>
  <si>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</si>
  <si>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</si>
  <si>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</si>
  <si>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</si>
  <si>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</si>
  <si>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</si>
  <si>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</si>
  <si>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</si>
  <si>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</si>
  <si>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</si>
  <si>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</si>
  <si>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</si>
  <si>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</si>
  <si>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</si>
  <si>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</si>
  <si>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</si>
  <si>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</si>
  <si>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</si>
  <si>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</si>
  <si>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</si>
  <si>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</si>
  <si>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</si>
  <si>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</si>
  <si>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</si>
  <si>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</si>
  <si>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</si>
  <si>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</si>
  <si>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</si>
  <si>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</si>
  <si>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</si>
  <si>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</si>
  <si>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</si>
  <si>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</si>
  <si>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</si>
  <si>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</si>
  <si>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</si>
  <si>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</si>
  <si>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</si>
  <si>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</si>
  <si>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</si>
  <si>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</si>
  <si>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</si>
  <si>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</si>
  <si>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</si>
  <si>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</si>
  <si>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</si>
  <si>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</si>
  <si>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</si>
  <si>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</si>
  <si>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</si>
  <si>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</si>
  <si>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</si>
  <si>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</si>
  <si>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</si>
  <si>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</si>
  <si>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</si>
  <si>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</si>
  <si>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</si>
  <si>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</si>
  <si>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</si>
  <si>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</si>
  <si>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</si>
  <si>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</si>
  <si>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</si>
  <si>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</si>
  <si>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</si>
  <si>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</si>
  <si>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</si>
  <si>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</si>
  <si>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</si>
  <si>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</si>
  <si>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</si>
  <si>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</si>
  <si>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</si>
  <si>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</si>
  <si>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</si>
  <si>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</si>
  <si>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</si>
  <si>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</si>
  <si>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</si>
  <si>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</si>
  <si>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</si>
  <si>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</si>
  <si>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</si>
  <si>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</si>
  <si>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</si>
  <si>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</si>
  <si>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</si>
  <si>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</si>
  <si>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</si>
  <si>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</si>
  <si>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</si>
  <si>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</si>
  <si>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</si>
  <si>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</si>
  <si>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</si>
  <si>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</si>
  <si>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</si>
  <si>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</si>
  <si>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</si>
  <si>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</si>
  <si>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</si>
  <si>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</si>
  <si>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</si>
  <si>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</si>
  <si>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</si>
  <si>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</si>
  <si>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</si>
  <si>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</si>
  <si>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</si>
  <si>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</si>
  <si>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</si>
  <si>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</si>
  <si>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</si>
  <si>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</si>
  <si>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</si>
  <si>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</si>
  <si>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</si>
  <si>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</si>
  <si>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</si>
  <si>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</si>
  <si>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</si>
  <si>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</si>
  <si>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</si>
  <si>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</si>
  <si>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</si>
  <si>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</si>
  <si>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</si>
  <si>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</si>
  <si>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</si>
  <si>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</si>
  <si>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</si>
  <si>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</si>
  <si>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</si>
  <si>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</si>
  <si>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</si>
  <si>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</si>
  <si>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</si>
  <si>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</si>
  <si>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</si>
  <si>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</si>
  <si>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</si>
  <si>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</si>
  <si>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</si>
  <si>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</si>
  <si>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</si>
  <si>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</si>
  <si>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</si>
  <si>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</si>
  <si>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</si>
  <si>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</si>
  <si>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</si>
  <si>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</si>
  <si>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</si>
  <si>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</si>
  <si>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</si>
  <si>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</si>
  <si>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</si>
  <si>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</si>
  <si>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</si>
  <si>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</si>
  <si>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</si>
  <si>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</si>
  <si>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</si>
  <si>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</si>
  <si>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</si>
  <si>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</si>
  <si>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</si>
  <si>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</si>
  <si>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</si>
  <si>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</si>
  <si>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</si>
  <si>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</si>
  <si>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</si>
  <si>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</si>
  <si>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</si>
  <si>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</si>
  <si>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</si>
  <si>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</si>
  <si>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</si>
  <si>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</si>
  <si>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</si>
  <si>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</si>
  <si>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</si>
  <si>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</si>
  <si>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</si>
  <si>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</si>
  <si>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</si>
  <si>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</si>
  <si>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</si>
  <si>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</si>
  <si>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</si>
  <si>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</si>
  <si>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</si>
  <si>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</si>
  <si>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</si>
  <si>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</si>
  <si>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</si>
  <si>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</si>
  <si>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</si>
  <si>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</si>
  <si>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</si>
  <si>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</si>
  <si>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</si>
  <si>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</si>
  <si>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</si>
  <si>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</si>
  <si>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</si>
  <si>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</si>
  <si>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</si>
  <si>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</si>
  <si>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</si>
  <si>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</si>
  <si>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</si>
  <si>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</si>
  <si>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</si>
  <si>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</si>
  <si>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</si>
  <si>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</si>
  <si>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</si>
  <si>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</si>
  <si>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</si>
  <si>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</si>
  <si>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</si>
  <si>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</si>
  <si>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</si>
  <si>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</si>
  <si>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</si>
  <si>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</si>
  <si>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</si>
  <si>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</si>
  <si>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</si>
  <si>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</si>
  <si>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</si>
  <si>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</si>
  <si>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</si>
  <si>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</si>
  <si>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</si>
  <si>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</si>
  <si>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</si>
  <si>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</si>
  <si>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</si>
  <si>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</si>
  <si>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</si>
  <si>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</si>
  <si>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</si>
  <si>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</si>
  <si>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</si>
  <si>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</si>
  <si>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</si>
  <si>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</si>
  <si>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</si>
  <si>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</si>
  <si>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</si>
  <si>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</si>
  <si>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</si>
  <si>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</si>
  <si>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</si>
  <si>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</si>
  <si>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</si>
  <si>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</si>
  <si>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</si>
  <si>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</si>
  <si>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</si>
  <si>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</si>
  <si>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</si>
  <si>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</si>
  <si>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</si>
  <si>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</si>
  <si>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</si>
  <si>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</si>
  <si>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</si>
  <si>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</si>
  <si>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</si>
  <si>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</si>
  <si>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</si>
  <si>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</si>
  <si>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</si>
  <si>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</si>
  <si>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</si>
  <si>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</si>
  <si>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</si>
  <si>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</si>
  <si>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</si>
  <si>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</si>
  <si>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</si>
  <si>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</si>
  <si>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</si>
  <si>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</si>
  <si>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</si>
  <si>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</si>
  <si>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</si>
  <si>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</si>
  <si>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</si>
  <si>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</si>
  <si>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</si>
  <si>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</si>
  <si>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</si>
  <si>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</si>
  <si>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</si>
  <si>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</si>
  <si>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</si>
  <si>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</si>
  <si>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</si>
  <si>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</si>
  <si>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</si>
  <si>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</si>
  <si>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</si>
  <si>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</si>
  <si>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</si>
  <si>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</si>
  <si>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</si>
  <si>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</si>
  <si>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</si>
  <si>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</si>
  <si>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</si>
  <si>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</si>
  <si>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</si>
  <si>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</si>
  <si>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</si>
  <si>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</si>
  <si>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</si>
  <si>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</si>
  <si>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</si>
  <si>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</si>
  <si>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</si>
  <si>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</si>
  <si>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</si>
  <si>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</si>
  <si>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</si>
  <si>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</si>
  <si>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</si>
  <si>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</si>
  <si>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</si>
  <si>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</si>
  <si>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</si>
  <si>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</si>
  <si>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</si>
  <si>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</si>
  <si>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</si>
  <si>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</si>
  <si>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</si>
  <si>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</si>
  <si>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</si>
  <si>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</si>
  <si>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</si>
  <si>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</si>
  <si>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</si>
  <si>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</si>
  <si>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</si>
  <si>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</si>
  <si>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</si>
  <si>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</si>
  <si>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</si>
  <si>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</si>
  <si>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</si>
  <si>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</si>
  <si>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</si>
  <si>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</si>
  <si>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</si>
  <si>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</si>
  <si>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</si>
  <si>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</si>
  <si>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</si>
  <si>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</si>
  <si>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</si>
  <si>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</si>
  <si>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</si>
  <si>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</si>
  <si>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</si>
  <si>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</si>
  <si>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</si>
  <si>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</si>
  <si>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</si>
  <si>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</si>
  <si>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</si>
  <si>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</si>
  <si>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</si>
  <si>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</si>
  <si>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</si>
  <si>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</si>
  <si>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</si>
  <si>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</si>
  <si>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</si>
  <si>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</si>
  <si>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</si>
  <si>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</si>
  <si>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</si>
  <si>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</si>
  <si>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</si>
  <si>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</si>
  <si>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</si>
  <si>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</si>
  <si>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</si>
  <si>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</si>
  <si>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</si>
  <si>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</si>
  <si>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</si>
  <si>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</si>
  <si>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</si>
  <si>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</si>
  <si>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</si>
  <si>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</si>
  <si>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</si>
  <si>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</si>
  <si>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</si>
  <si>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</si>
  <si>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</si>
  <si>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</si>
  <si>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</si>
  <si>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</si>
  <si>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</si>
  <si>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</si>
  <si>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</si>
  <si>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</si>
  <si>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</si>
  <si>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</si>
  <si>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</si>
  <si>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</si>
  <si>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</si>
  <si>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</si>
  <si>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</si>
  <si>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</si>
  <si>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</si>
  <si>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</si>
  <si>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</si>
  <si>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</si>
  <si>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</si>
  <si>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</si>
  <si>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</si>
  <si>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</si>
  <si>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</si>
  <si>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</si>
  <si>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</si>
  <si>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</si>
  <si>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</si>
  <si>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</si>
  <si>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</si>
  <si>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</si>
  <si>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</si>
  <si>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</si>
  <si>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</si>
  <si>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</si>
  <si>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</si>
  <si>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</si>
  <si>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</si>
  <si>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</si>
  <si>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</si>
  <si>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</si>
  <si>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</si>
  <si>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</si>
  <si>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</si>
  <si>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</si>
  <si>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</si>
  <si>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</si>
  <si>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</si>
  <si>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</si>
  <si>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</si>
  <si>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</si>
  <si>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</si>
  <si>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</si>
  <si>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</si>
  <si>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</si>
  <si>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</si>
  <si>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</si>
  <si>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</si>
  <si>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</si>
  <si>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</si>
  <si>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</si>
  <si>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</si>
  <si>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</si>
  <si>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</si>
  <si>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</si>
  <si>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</si>
  <si>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</si>
  <si>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</si>
  <si>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</si>
  <si>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</si>
  <si>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</si>
  <si>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</si>
  <si>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</si>
  <si>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</si>
  <si>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</si>
  <si>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</si>
  <si>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</si>
  <si>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</si>
  <si>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</si>
  <si>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</si>
  <si>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</si>
  <si>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</si>
  <si>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</si>
  <si>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</si>
  <si>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</si>
  <si>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</si>
  <si>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</si>
  <si>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</si>
  <si>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</si>
  <si>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</si>
  <si>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</si>
  <si>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</si>
  <si>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</si>
  <si>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</si>
  <si>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</si>
  <si>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</si>
  <si>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</si>
  <si>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</si>
  <si>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</si>
  <si>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</si>
  <si>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</si>
  <si>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</si>
  <si>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</si>
  <si>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</si>
  <si>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</si>
  <si>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</si>
  <si>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</si>
  <si>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</si>
  <si>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</si>
  <si>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</si>
  <si>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</si>
  <si>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</si>
  <si>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</si>
  <si>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</si>
  <si>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</si>
  <si>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</si>
  <si>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</si>
  <si>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</si>
  <si>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</si>
  <si>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</si>
  <si>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</si>
  <si>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</si>
  <si>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</si>
  <si>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</si>
  <si>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</si>
  <si>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</si>
  <si>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</si>
  <si>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</si>
  <si>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</si>
  <si>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</si>
  <si>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</si>
  <si>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</si>
  <si>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</si>
  <si>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</si>
  <si>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</si>
  <si>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</si>
  <si>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</si>
  <si>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</si>
  <si>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</si>
  <si>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</si>
  <si>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</si>
  <si>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</si>
  <si>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</si>
  <si>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</si>
  <si>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</si>
  <si>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</si>
  <si>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</si>
  <si>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</si>
  <si>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</si>
  <si>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</si>
  <si>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</si>
  <si>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</si>
  <si>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</si>
  <si>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</si>
  <si>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</si>
  <si>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</si>
  <si>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</si>
  <si>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</si>
  <si>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</si>
  <si>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</si>
  <si>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</si>
  <si>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</si>
  <si>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</si>
  <si>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</si>
  <si>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</si>
  <si>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</si>
  <si>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</si>
  <si>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</si>
  <si>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</si>
  <si>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</si>
  <si>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</si>
  <si>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</si>
  <si>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</si>
  <si>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</si>
  <si>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</si>
  <si>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</si>
  <si>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</si>
  <si>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</si>
  <si>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</si>
  <si>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</si>
  <si>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</si>
  <si>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</si>
  <si>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</si>
  <si>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</si>
  <si>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</si>
  <si>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</si>
  <si>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</si>
  <si>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</si>
  <si>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</si>
  <si>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</si>
  <si>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</si>
  <si>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</si>
  <si>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</si>
  <si>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</si>
  <si>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</si>
  <si>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</si>
  <si>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</si>
  <si>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</si>
  <si>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</si>
  <si>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</si>
  <si>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</si>
  <si>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</si>
  <si>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</si>
  <si>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</si>
  <si>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</si>
  <si>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</si>
  <si>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</si>
  <si>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</si>
  <si>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</si>
  <si>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</si>
  <si>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</si>
  <si>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</si>
  <si>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</si>
  <si>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</si>
  <si>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</si>
  <si>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</si>
  <si>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</si>
  <si>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</si>
  <si>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</si>
  <si>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</si>
  <si>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</si>
  <si>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</si>
  <si>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</si>
  <si>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</si>
  <si>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</si>
  <si>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</si>
  <si>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</si>
  <si>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</si>
  <si>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</si>
  <si>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</si>
  <si>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</si>
  <si>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</si>
  <si>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</si>
  <si>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</si>
  <si>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</si>
  <si>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</si>
  <si>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</si>
  <si>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</si>
  <si>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</si>
  <si>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</si>
  <si>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</si>
  <si>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</si>
  <si>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</si>
  <si>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</si>
  <si>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</si>
  <si>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</si>
  <si>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</si>
  <si>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</si>
  <si>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</si>
  <si>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</si>
  <si>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</si>
  <si>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</si>
  <si>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</si>
  <si>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</si>
  <si>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</si>
  <si>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</si>
  <si>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</si>
  <si>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</si>
  <si>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</si>
  <si>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</si>
  <si>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</si>
  <si>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</si>
  <si>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</si>
  <si>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</si>
  <si>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</si>
  <si>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</si>
  <si>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</si>
  <si>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</si>
  <si>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</si>
  <si>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</si>
  <si>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</si>
  <si>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</si>
  <si>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</si>
  <si>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</si>
  <si>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</si>
  <si>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</si>
  <si>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</si>
  <si>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</si>
  <si>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</si>
  <si>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</si>
  <si>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</si>
  <si>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</si>
  <si>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</si>
  <si>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</si>
  <si>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</si>
  <si>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</si>
  <si>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</si>
  <si>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</si>
  <si>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</si>
  <si>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</si>
  <si>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</si>
  <si>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</si>
  <si>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</si>
  <si>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</si>
  <si>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</si>
  <si>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</si>
  <si>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</si>
  <si>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</si>
  <si>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</si>
  <si>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</si>
  <si>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</si>
  <si>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</si>
  <si>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</si>
  <si>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</si>
  <si>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</si>
  <si>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</si>
  <si>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</si>
  <si>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</si>
  <si>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</si>
  <si>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</si>
  <si>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</si>
  <si>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</si>
  <si>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</si>
  <si>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</si>
  <si>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</si>
  <si>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</si>
  <si>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</si>
  <si>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</si>
  <si>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</si>
  <si>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</si>
  <si>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</si>
  <si>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</si>
  <si>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</si>
  <si>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</si>
  <si>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</si>
  <si>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</si>
  <si>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</si>
  <si>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</si>
  <si>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</si>
  <si>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</si>
  <si>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</si>
  <si>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</si>
  <si>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</si>
  <si>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</si>
  <si>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</si>
  <si>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</si>
  <si>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</si>
  <si>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</si>
  <si>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</si>
  <si>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</si>
  <si>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</si>
  <si>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</si>
  <si>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</si>
  <si>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</si>
  <si>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</si>
  <si>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</si>
  <si>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</si>
  <si>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</si>
  <si>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</si>
  <si>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</si>
  <si>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</si>
  <si>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</si>
  <si>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</si>
  <si>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</si>
  <si>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</si>
  <si>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</si>
  <si>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</si>
  <si>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</si>
  <si>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</si>
  <si>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</si>
  <si>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</si>
  <si>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</si>
  <si>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</si>
  <si>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</si>
  <si>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</si>
  <si>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</si>
  <si>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</si>
  <si>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</si>
  <si>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</si>
  <si>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</si>
  <si>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</si>
  <si>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</si>
  <si>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</si>
  <si>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</si>
  <si>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</si>
  <si>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</si>
  <si>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</si>
  <si>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</si>
  <si>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</si>
  <si>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</si>
  <si>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</si>
  <si>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</si>
  <si>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</si>
  <si>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</si>
  <si>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</si>
  <si>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</si>
  <si>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</si>
  <si>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</si>
  <si>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</si>
  <si>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</si>
  <si>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</si>
  <si>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</si>
  <si>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</si>
  <si>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</si>
  <si>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</si>
  <si>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</si>
  <si>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</si>
  <si>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</si>
  <si>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</si>
  <si>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</si>
  <si>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</si>
  <si>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</si>
  <si>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</si>
  <si>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</si>
  <si>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</si>
  <si>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</si>
  <si>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</si>
  <si>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</si>
  <si>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</si>
  <si>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</si>
  <si>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</si>
  <si>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</si>
  <si>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</si>
  <si>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</si>
  <si>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</si>
  <si>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</si>
  <si>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</si>
  <si>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</si>
  <si>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</si>
  <si>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</si>
  <si>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</si>
  <si>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</si>
  <si>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</si>
  <si>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</si>
  <si>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</si>
  <si>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</si>
  <si>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</si>
  <si>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</si>
  <si>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</si>
  <si>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</si>
  <si>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</si>
  <si>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</si>
  <si>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</si>
  <si>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</si>
  <si>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</si>
  <si>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</si>
  <si>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</si>
  <si>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</si>
  <si>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</si>
  <si>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</si>
  <si>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</si>
  <si>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</si>
  <si>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</si>
  <si>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</si>
  <si>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</si>
  <si>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</si>
  <si>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</si>
  <si>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</si>
  <si>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</si>
  <si>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</si>
  <si>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</si>
  <si>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</si>
  <si>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</si>
  <si>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</si>
  <si>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</si>
  <si>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</si>
  <si>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</si>
  <si>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</si>
  <si>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</si>
  <si>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</si>
  <si>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</si>
  <si>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</si>
  <si>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</si>
  <si>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</si>
  <si>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</si>
  <si>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</si>
  <si>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</si>
  <si>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</si>
  <si>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</si>
  <si>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</si>
  <si>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</si>
  <si>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</si>
  <si>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</si>
  <si>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</si>
  <si>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</si>
  <si>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</si>
  <si>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</si>
  <si>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</si>
  <si>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</si>
  <si>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</si>
  <si>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</si>
  <si>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</si>
  <si>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</si>
  <si>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</si>
  <si>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</si>
  <si>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</si>
  <si>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</si>
  <si>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</si>
  <si>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</si>
  <si>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</si>
  <si>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</si>
  <si>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</si>
  <si>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</si>
  <si>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</si>
  <si>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</si>
  <si>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</si>
  <si>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</si>
  <si>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</si>
  <si>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</si>
  <si>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</si>
  <si>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</si>
  <si>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</si>
  <si>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</si>
  <si>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</si>
  <si>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</si>
  <si>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</si>
  <si>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</si>
  <si>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</si>
  <si>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</si>
  <si>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</si>
  <si>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</si>
  <si>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</si>
  <si>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</si>
  <si>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</si>
  <si>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</si>
  <si>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</si>
  <si>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</si>
  <si>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</si>
  <si>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</si>
  <si>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</si>
  <si>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</si>
  <si>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</si>
  <si>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</si>
  <si>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</si>
  <si>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</si>
  <si>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</si>
  <si>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</si>
  <si>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</si>
  <si>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</si>
  <si>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</si>
  <si>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</si>
  <si>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</si>
  <si>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</si>
  <si>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</si>
  <si>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</si>
  <si>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</si>
  <si>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</si>
  <si>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</si>
  <si>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</si>
  <si>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</si>
  <si>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</si>
  <si>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</si>
  <si>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</si>
  <si>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</si>
  <si>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</si>
  <si>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</si>
  <si>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</si>
  <si>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</si>
  <si>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</si>
  <si>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</si>
  <si>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</si>
  <si>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</si>
  <si>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</si>
  <si>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</si>
  <si>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</si>
  <si>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</si>
  <si>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</si>
  <si>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</si>
  <si>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</si>
  <si>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</si>
  <si>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</si>
  <si>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</si>
  <si>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</si>
  <si>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</si>
  <si>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</si>
  <si>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</si>
  <si>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</si>
  <si>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</si>
  <si>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</si>
  <si>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</si>
  <si>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</si>
  <si>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</si>
  <si>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</si>
  <si>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</si>
  <si>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</si>
  <si>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</si>
  <si>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</si>
  <si>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</si>
  <si>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</si>
  <si>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</si>
  <si>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</si>
  <si>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</si>
  <si>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</si>
  <si>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</si>
  <si>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</si>
  <si>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</si>
  <si>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</si>
  <si>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</si>
  <si>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</si>
  <si>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</si>
  <si>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</si>
  <si>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</si>
  <si>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</si>
  <si>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</si>
  <si>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</si>
  <si>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</si>
  <si>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</si>
  <si>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</si>
  <si>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</si>
  <si>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</si>
  <si>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</si>
  <si>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</si>
  <si>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</si>
  <si>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</si>
  <si>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</si>
  <si>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</si>
  <si>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</si>
  <si>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</si>
  <si>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</si>
  <si>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</si>
  <si>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</si>
  <si>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</si>
  <si>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</si>
  <si>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</si>
  <si>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</si>
  <si>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</si>
  <si>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</si>
  <si>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</si>
  <si>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</si>
  <si>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</si>
  <si>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</si>
  <si>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</si>
  <si>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</si>
  <si>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</si>
  <si>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</si>
  <si>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</si>
  <si>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</si>
  <si>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</si>
  <si>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</si>
  <si>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</si>
  <si>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</si>
  <si>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</si>
  <si>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</si>
  <si>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</si>
  <si>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</si>
  <si>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</si>
  <si>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</si>
  <si>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</si>
  <si>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</si>
  <si>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</si>
  <si>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</si>
  <si>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</si>
  <si>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</si>
  <si>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</si>
  <si>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</si>
  <si>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</si>
  <si>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</si>
  <si>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</si>
  <si>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</si>
  <si>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</si>
  <si>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</si>
  <si>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</si>
  <si>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</si>
  <si>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</si>
  <si>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</si>
  <si>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</si>
  <si>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</si>
  <si>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</si>
  <si>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</si>
  <si>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</si>
  <si>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</si>
  <si>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</si>
  <si>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</si>
  <si>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</si>
  <si>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</si>
  <si>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</si>
  <si>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</si>
  <si>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</si>
  <si>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</si>
  <si>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</si>
  <si>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</si>
  <si>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</si>
  <si>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</si>
  <si>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</si>
  <si>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</si>
  <si>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</si>
  <si>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</si>
  <si>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</si>
  <si>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</si>
  <si>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</si>
  <si>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</si>
  <si>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</si>
  <si>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</si>
  <si>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</si>
  <si>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</si>
  <si>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</si>
  <si>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</si>
  <si>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</si>
  <si>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</si>
  <si>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</si>
  <si>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</si>
  <si>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</si>
  <si>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</si>
  <si>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</si>
  <si>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</si>
  <si>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</si>
  <si>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</si>
  <si>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</si>
  <si>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</si>
  <si>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</si>
  <si>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</si>
  <si>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</si>
  <si>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</si>
  <si>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</si>
  <si>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</si>
  <si>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</si>
  <si>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</si>
  <si>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</si>
  <si>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</si>
  <si>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</si>
  <si>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</si>
  <si>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</si>
  <si>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</si>
  <si>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</si>
  <si>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</si>
  <si>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</si>
  <si>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</si>
  <si>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</si>
  <si>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</si>
  <si>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</si>
  <si>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</si>
  <si>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</si>
  <si>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</si>
  <si>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</si>
  <si>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</si>
  <si>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</si>
  <si>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</si>
  <si>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</si>
  <si>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</si>
  <si>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</si>
  <si>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</si>
  <si>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</si>
  <si>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</si>
  <si>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</si>
  <si>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</si>
  <si>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</si>
  <si>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</si>
  <si>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</si>
  <si>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</si>
  <si>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</si>
  <si>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</si>
  <si>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</si>
  <si>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</si>
  <si>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</si>
  <si>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</si>
  <si>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</si>
  <si>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</si>
  <si>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</si>
  <si>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</si>
  <si>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</si>
  <si>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</si>
  <si>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</si>
  <si>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</si>
  <si>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</si>
  <si>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</si>
  <si>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</si>
  <si>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</si>
  <si>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</si>
  <si>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</si>
  <si>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</si>
  <si>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</si>
  <si>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</si>
  <si>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</si>
  <si>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</si>
  <si>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</si>
  <si>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</si>
  <si>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</si>
  <si>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</si>
  <si>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</si>
  <si>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</si>
  <si>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</si>
  <si>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</si>
  <si>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</si>
  <si>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</si>
  <si>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</si>
  <si>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</si>
  <si>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</si>
  <si>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</si>
  <si>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</si>
  <si>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</si>
  <si>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</si>
  <si>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</si>
  <si>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</si>
  <si>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</si>
  <si>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</si>
  <si>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</si>
  <si>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</si>
  <si>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</si>
  <si>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</si>
  <si>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</si>
  <si>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</si>
  <si>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</si>
  <si>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</si>
  <si>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</si>
  <si>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</si>
  <si>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</si>
  <si>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</si>
  <si>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</si>
  <si>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</si>
  <si>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</si>
  <si>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</si>
  <si>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</si>
  <si>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</si>
  <si>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</si>
  <si>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</si>
  <si>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</si>
  <si>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</si>
  <si>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</si>
  <si>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</si>
  <si>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</si>
  <si>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</si>
  <si>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</si>
  <si>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</si>
  <si>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</si>
  <si>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</si>
  <si>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</si>
  <si>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</si>
  <si>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</si>
  <si>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</si>
  <si>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</si>
  <si>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</si>
  <si>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</si>
  <si>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</si>
  <si>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</si>
  <si>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</si>
  <si>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</si>
  <si>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</si>
  <si>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</si>
  <si>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</si>
  <si>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</si>
  <si>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</si>
  <si>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</si>
  <si>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</si>
  <si>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</si>
  <si>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</si>
  <si>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</si>
  <si>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</si>
  <si>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</si>
  <si>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</si>
  <si>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</si>
  <si>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</si>
  <si>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</si>
  <si>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</si>
  <si>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</si>
  <si>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</si>
  <si>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</si>
  <si>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</si>
  <si>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</si>
  <si>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</si>
  <si>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</si>
  <si>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</si>
  <si>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</si>
  <si>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</si>
  <si>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</si>
  <si>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</si>
  <si>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</si>
  <si>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</si>
  <si>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</si>
  <si>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</si>
  <si>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</si>
  <si>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</si>
  <si>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</si>
  <si>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</si>
  <si>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</si>
  <si>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</si>
  <si>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</si>
  <si>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</si>
  <si>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</si>
  <si>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</si>
  <si>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</si>
  <si>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</si>
  <si>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</si>
  <si>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</si>
  <si>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</si>
  <si>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</si>
  <si>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</si>
  <si>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</si>
  <si>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</si>
  <si>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</si>
  <si>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</si>
  <si>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</si>
  <si>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</si>
  <si>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</si>
  <si>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</si>
  <si>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</si>
  <si>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</si>
  <si>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</si>
  <si>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</si>
  <si>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</si>
  <si>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</si>
  <si>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</si>
  <si>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</si>
  <si>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</si>
  <si>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</si>
  <si>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</si>
  <si>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</si>
  <si>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</si>
  <si>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</si>
  <si>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</si>
  <si>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</si>
  <si>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</si>
  <si>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</si>
  <si>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</si>
  <si>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</si>
  <si>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</si>
  <si>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</si>
  <si>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</si>
  <si>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</si>
  <si>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</si>
  <si>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</si>
  <si>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</si>
  <si>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</si>
  <si>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</si>
  <si>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</si>
  <si>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</si>
  <si>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</si>
  <si>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</si>
  <si>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</si>
  <si>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</si>
  <si>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</si>
  <si>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</si>
  <si>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</si>
  <si>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</si>
  <si>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</si>
  <si>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</si>
  <si>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</si>
  <si>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</si>
  <si>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</si>
  <si>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</si>
  <si>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</si>
  <si>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</si>
  <si>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</si>
  <si>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</si>
  <si>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</si>
  <si>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</si>
  <si>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</si>
  <si>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</si>
  <si>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</si>
  <si>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</si>
  <si>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</si>
  <si>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</si>
  <si>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</si>
  <si>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</si>
  <si>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</si>
  <si>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</si>
  <si>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</si>
  <si>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</si>
  <si>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</si>
  <si>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</si>
  <si>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</si>
  <si>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</si>
  <si>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</si>
  <si>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</si>
  <si>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</si>
  <si>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</si>
  <si>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</si>
  <si>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</si>
  <si>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</si>
  <si>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</si>
  <si>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</si>
  <si>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</si>
  <si>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</si>
  <si>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</si>
  <si>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</si>
  <si>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</si>
  <si>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</si>
  <si>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</si>
  <si>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</si>
  <si>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</si>
  <si>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</si>
  <si>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</si>
  <si>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</si>
  <si>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</si>
  <si>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 xml:space="preserve">Coffee Type Name </t>
  </si>
  <si>
    <t xml:space="preserve">Roast Type Name </t>
  </si>
  <si>
    <t>Jan</t>
  </si>
  <si>
    <t>Feb</t>
  </si>
  <si>
    <t>Mar</t>
  </si>
  <si>
    <t>Apr</t>
  </si>
  <si>
    <t>May</t>
  </si>
  <si>
    <t>Jun</t>
  </si>
  <si>
    <t>Jul</t>
  </si>
  <si>
    <t>Aug</t>
  </si>
  <si>
    <t>Sep</t>
  </si>
  <si>
    <t>Oct</t>
  </si>
  <si>
    <t>Nov</t>
  </si>
  <si>
    <t>Dec</t>
  </si>
  <si>
    <t>2020</t>
  </si>
  <si>
    <t>2021</t>
  </si>
  <si>
    <t>Years</t>
  </si>
  <si>
    <t>Arabica</t>
  </si>
  <si>
    <t>Excelsa</t>
  </si>
  <si>
    <t>Liberica</t>
  </si>
  <si>
    <t>Robusta</t>
  </si>
  <si>
    <t>Sum of Sales</t>
  </si>
  <si>
    <t>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</si>
</sst>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
    <numFmt numFmtId="165" formatCode="dd\-mmm\-yyyy"/>
    <numFmt numFmtId="166" formatCode="0.0\ &quot;kg&quot;"/>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44" fontId="0" fillId="0" borderId="0" xfId="1" applyFont="1"/>
    <xf numFmtId="0" fontId="0" fillId="0" borderId="0" xfId="0" pivotButton="1"/>
    <xf numFmtId="165" fontId="0" fillId="0" borderId="0" xfId="0" applyNumberFormat="1"/>
    <xf numFmtId="0" fontId="0" fillId="0" borderId="0" xfId="0" applyNumberFormat="1"/>
  </cellXfs>
  <cellStyles count="2">
    <cellStyle name="Currency" xfId="1" builtinId="4"/>
    <cellStyle name="Normal" xfId="0" builtinId="0"/>
  </cellStyles>
  <dxfs count="12">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colors>
    <mruColors>
      <color rgb="FF408EEA"/>
      <color rgb="FFA676E8"/>
      <color rgb="FFCFB2EE"/>
      <color rgb="FFAA89E9"/>
      <color rgb="FFD883FF"/>
      <color rgb="FFFF40FF"/>
      <color rgb="FF9420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(modified)(AutoRecovered).xlsx]TotalSales!TotalSales</c:name>
    <c:fmtId val="1"/>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Total Sales</a:t>
            </a:r>
            <a:r>
              <a:rPr lang="en-US" baseline="0"/>
              <a: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lumMod val="50000"/>
                </a:schemeClr>
              </a:solidFill>
              <a:round/>
            </a:ln>
            <a:effectLst/>
          </c:spPr>
          <c:marker>
            <c:symbol val="none"/>
          </c:marker>
          <c:cat>
            <c:multiLvlStrRef>
              <c:f>TotalSales!$A$5:$B$17</c:f>
              <c:multiLvlStrCache>
                <c:ptCount val="13"/>
                <c:lvl>
                  <c:pt idx="0">
                    <c:v>Nov</c:v>
                  </c:pt>
                  <c:pt idx="1">
                    <c:v>Dec</c:v>
                  </c:pt>
                  <c:pt idx="2">
                    <c:v>Jan</c:v>
                  </c:pt>
                  <c:pt idx="3">
                    <c:v>Feb</c:v>
                  </c:pt>
                  <c:pt idx="4">
                    <c:v>Mar</c:v>
                  </c:pt>
                  <c:pt idx="5">
                    <c:v>Apr</c:v>
                  </c:pt>
                  <c:pt idx="6">
                    <c:v>May</c:v>
                  </c:pt>
                  <c:pt idx="7">
                    <c:v>Jun</c:v>
                  </c:pt>
                  <c:pt idx="8">
                    <c:v>Jul</c:v>
                  </c:pt>
                  <c:pt idx="9">
                    <c:v>Aug</c:v>
                  </c:pt>
                  <c:pt idx="10">
                    <c:v>Sep</c:v>
                  </c:pt>
                  <c:pt idx="11">
                    <c:v>Oct</c:v>
                  </c:pt>
                  <c:pt idx="12">
                    <c:v>Nov</c:v>
                  </c:pt>
                </c:lvl>
                <c:lvl>
                  <c:pt idx="0">
                    <c:v>2020</c:v>
                  </c:pt>
                  <c:pt idx="2">
                    <c:v>2021</c:v>
                  </c:pt>
                </c:lvl>
              </c:multiLvlStrCache>
            </c:multiLvlStrRef>
          </c:cat>
          <c:val>
            <c:numRef>
              <c:f>TotalSales!$C$5:$C$17</c:f>
              <c:numCache>
                <c:formatCode>General</c:formatCode>
                <c:ptCount val="13"/>
                <c:pt idx="0">
                  <c:v>165.23499999999999</c:v>
                </c:pt>
                <c:pt idx="1">
                  <c:v>23.88</c:v>
                </c:pt>
                <c:pt idx="2">
                  <c:v>106.47</c:v>
                </c:pt>
                <c:pt idx="3">
                  <c:v>169.99999999999997</c:v>
                </c:pt>
                <c:pt idx="4">
                  <c:v>192.40499999999997</c:v>
                </c:pt>
                <c:pt idx="5">
                  <c:v>62.91</c:v>
                </c:pt>
                <c:pt idx="6">
                  <c:v>143.22</c:v>
                </c:pt>
                <c:pt idx="7">
                  <c:v>279.70499999999998</c:v>
                </c:pt>
                <c:pt idx="8">
                  <c:v>109.005</c:v>
                </c:pt>
                <c:pt idx="9">
                  <c:v>119.41999999999999</c:v>
                </c:pt>
                <c:pt idx="10">
                  <c:v>667.51499999999999</c:v>
                </c:pt>
                <c:pt idx="11">
                  <c:v>242.99999999999997</c:v>
                </c:pt>
                <c:pt idx="12">
                  <c:v>63.314999999999998</c:v>
                </c:pt>
              </c:numCache>
            </c:numRef>
          </c:val>
          <c:smooth val="0"/>
          <c:extLst>
            <c:ext xmlns:c16="http://schemas.microsoft.com/office/drawing/2014/chart" uri="{C3380CC4-5D6E-409C-BE32-E72D297353CC}">
              <c16:uniqueId val="{00000000-8DCA-E643-8C63-D88484DB1796}"/>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TotalSales!$A$5:$B$17</c:f>
              <c:multiLvlStrCache>
                <c:ptCount val="13"/>
                <c:lvl>
                  <c:pt idx="0">
                    <c:v>Nov</c:v>
                  </c:pt>
                  <c:pt idx="1">
                    <c:v>Dec</c:v>
                  </c:pt>
                  <c:pt idx="2">
                    <c:v>Jan</c:v>
                  </c:pt>
                  <c:pt idx="3">
                    <c:v>Feb</c:v>
                  </c:pt>
                  <c:pt idx="4">
                    <c:v>Mar</c:v>
                  </c:pt>
                  <c:pt idx="5">
                    <c:v>Apr</c:v>
                  </c:pt>
                  <c:pt idx="6">
                    <c:v>May</c:v>
                  </c:pt>
                  <c:pt idx="7">
                    <c:v>Jun</c:v>
                  </c:pt>
                  <c:pt idx="8">
                    <c:v>Jul</c:v>
                  </c:pt>
                  <c:pt idx="9">
                    <c:v>Aug</c:v>
                  </c:pt>
                  <c:pt idx="10">
                    <c:v>Sep</c:v>
                  </c:pt>
                  <c:pt idx="11">
                    <c:v>Oct</c:v>
                  </c:pt>
                  <c:pt idx="12">
                    <c:v>Nov</c:v>
                  </c:pt>
                </c:lvl>
                <c:lvl>
                  <c:pt idx="0">
                    <c:v>2020</c:v>
                  </c:pt>
                  <c:pt idx="2">
                    <c:v>2021</c:v>
                  </c:pt>
                </c:lvl>
              </c:multiLvlStrCache>
            </c:multiLvlStrRef>
          </c:cat>
          <c:val>
            <c:numRef>
              <c:f>TotalSales!$D$5:$D$17</c:f>
              <c:numCache>
                <c:formatCode>General</c:formatCode>
                <c:ptCount val="13"/>
                <c:pt idx="1">
                  <c:v>354.67500000000001</c:v>
                </c:pt>
                <c:pt idx="2">
                  <c:v>12.15</c:v>
                </c:pt>
                <c:pt idx="3">
                  <c:v>48.6</c:v>
                </c:pt>
                <c:pt idx="4">
                  <c:v>307.38499999999999</c:v>
                </c:pt>
                <c:pt idx="5">
                  <c:v>8.91</c:v>
                </c:pt>
                <c:pt idx="6">
                  <c:v>94.710000000000008</c:v>
                </c:pt>
                <c:pt idx="7">
                  <c:v>12.375</c:v>
                </c:pt>
                <c:pt idx="8">
                  <c:v>124.7</c:v>
                </c:pt>
                <c:pt idx="9">
                  <c:v>81.41</c:v>
                </c:pt>
                <c:pt idx="10">
                  <c:v>171.6</c:v>
                </c:pt>
                <c:pt idx="11">
                  <c:v>260.32499999999999</c:v>
                </c:pt>
                <c:pt idx="12">
                  <c:v>459.54999999999995</c:v>
                </c:pt>
              </c:numCache>
            </c:numRef>
          </c:val>
          <c:smooth val="0"/>
          <c:extLst>
            <c:ext xmlns:c16="http://schemas.microsoft.com/office/drawing/2014/chart" uri="{C3380CC4-5D6E-409C-BE32-E72D297353CC}">
              <c16:uniqueId val="{00000001-8DCA-E643-8C63-D88484DB1796}"/>
            </c:ext>
          </c:extLst>
        </c:ser>
        <c:ser>
          <c:idx val="2"/>
          <c:order val="2"/>
          <c:tx>
            <c:strRef>
              <c:f>TotalSales!$E$3:$E$4</c:f>
              <c:strCache>
                <c:ptCount val="1"/>
                <c:pt idx="0">
                  <c:v>Liberica</c:v>
                </c:pt>
              </c:strCache>
            </c:strRef>
          </c:tx>
          <c:spPr>
            <a:ln w="28575" cap="rnd">
              <a:solidFill>
                <a:schemeClr val="accent4">
                  <a:lumMod val="60000"/>
                  <a:lumOff val="40000"/>
                </a:schemeClr>
              </a:solidFill>
              <a:round/>
            </a:ln>
            <a:effectLst/>
          </c:spPr>
          <c:marker>
            <c:symbol val="none"/>
          </c:marker>
          <c:cat>
            <c:multiLvlStrRef>
              <c:f>TotalSales!$A$5:$B$17</c:f>
              <c:multiLvlStrCache>
                <c:ptCount val="13"/>
                <c:lvl>
                  <c:pt idx="0">
                    <c:v>Nov</c:v>
                  </c:pt>
                  <c:pt idx="1">
                    <c:v>Dec</c:v>
                  </c:pt>
                  <c:pt idx="2">
                    <c:v>Jan</c:v>
                  </c:pt>
                  <c:pt idx="3">
                    <c:v>Feb</c:v>
                  </c:pt>
                  <c:pt idx="4">
                    <c:v>Mar</c:v>
                  </c:pt>
                  <c:pt idx="5">
                    <c:v>Apr</c:v>
                  </c:pt>
                  <c:pt idx="6">
                    <c:v>May</c:v>
                  </c:pt>
                  <c:pt idx="7">
                    <c:v>Jun</c:v>
                  </c:pt>
                  <c:pt idx="8">
                    <c:v>Jul</c:v>
                  </c:pt>
                  <c:pt idx="9">
                    <c:v>Aug</c:v>
                  </c:pt>
                  <c:pt idx="10">
                    <c:v>Sep</c:v>
                  </c:pt>
                  <c:pt idx="11">
                    <c:v>Oct</c:v>
                  </c:pt>
                  <c:pt idx="12">
                    <c:v>Nov</c:v>
                  </c:pt>
                </c:lvl>
                <c:lvl>
                  <c:pt idx="0">
                    <c:v>2020</c:v>
                  </c:pt>
                  <c:pt idx="2">
                    <c:v>2021</c:v>
                  </c:pt>
                </c:lvl>
              </c:multiLvlStrCache>
            </c:multiLvlStrRef>
          </c:cat>
          <c:val>
            <c:numRef>
              <c:f>TotalSales!$E$5:$E$17</c:f>
              <c:numCache>
                <c:formatCode>General</c:formatCode>
                <c:ptCount val="13"/>
                <c:pt idx="0">
                  <c:v>119.13999999999999</c:v>
                </c:pt>
                <c:pt idx="1">
                  <c:v>70.86</c:v>
                </c:pt>
                <c:pt idx="2">
                  <c:v>200.89000000000001</c:v>
                </c:pt>
                <c:pt idx="3">
                  <c:v>244.06</c:v>
                </c:pt>
                <c:pt idx="4">
                  <c:v>278.14500000000004</c:v>
                </c:pt>
                <c:pt idx="5">
                  <c:v>328.95</c:v>
                </c:pt>
                <c:pt idx="6">
                  <c:v>263.31499999999994</c:v>
                </c:pt>
                <c:pt idx="7">
                  <c:v>187.77499999999998</c:v>
                </c:pt>
                <c:pt idx="8">
                  <c:v>52.305</c:v>
                </c:pt>
                <c:pt idx="9">
                  <c:v>125.58</c:v>
                </c:pt>
                <c:pt idx="10">
                  <c:v>124.71000000000001</c:v>
                </c:pt>
                <c:pt idx="11">
                  <c:v>285.57000000000005</c:v>
                </c:pt>
                <c:pt idx="12">
                  <c:v>275.08999999999997</c:v>
                </c:pt>
              </c:numCache>
            </c:numRef>
          </c:val>
          <c:smooth val="0"/>
          <c:extLst>
            <c:ext xmlns:c16="http://schemas.microsoft.com/office/drawing/2014/chart" uri="{C3380CC4-5D6E-409C-BE32-E72D297353CC}">
              <c16:uniqueId val="{00000002-8DCA-E643-8C63-D88484DB1796}"/>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TotalSales!$A$5:$B$17</c:f>
              <c:multiLvlStrCache>
                <c:ptCount val="13"/>
                <c:lvl>
                  <c:pt idx="0">
                    <c:v>Nov</c:v>
                  </c:pt>
                  <c:pt idx="1">
                    <c:v>Dec</c:v>
                  </c:pt>
                  <c:pt idx="2">
                    <c:v>Jan</c:v>
                  </c:pt>
                  <c:pt idx="3">
                    <c:v>Feb</c:v>
                  </c:pt>
                  <c:pt idx="4">
                    <c:v>Mar</c:v>
                  </c:pt>
                  <c:pt idx="5">
                    <c:v>Apr</c:v>
                  </c:pt>
                  <c:pt idx="6">
                    <c:v>May</c:v>
                  </c:pt>
                  <c:pt idx="7">
                    <c:v>Jun</c:v>
                  </c:pt>
                  <c:pt idx="8">
                    <c:v>Jul</c:v>
                  </c:pt>
                  <c:pt idx="9">
                    <c:v>Aug</c:v>
                  </c:pt>
                  <c:pt idx="10">
                    <c:v>Sep</c:v>
                  </c:pt>
                  <c:pt idx="11">
                    <c:v>Oct</c:v>
                  </c:pt>
                  <c:pt idx="12">
                    <c:v>Nov</c:v>
                  </c:pt>
                </c:lvl>
                <c:lvl>
                  <c:pt idx="0">
                    <c:v>2020</c:v>
                  </c:pt>
                  <c:pt idx="2">
                    <c:v>2021</c:v>
                  </c:pt>
                </c:lvl>
              </c:multiLvlStrCache>
            </c:multiLvlStrRef>
          </c:cat>
          <c:val>
            <c:numRef>
              <c:f>TotalSales!$F$5:$F$17</c:f>
              <c:numCache>
                <c:formatCode>General</c:formatCode>
                <c:ptCount val="13"/>
                <c:pt idx="0">
                  <c:v>26.849999999999994</c:v>
                </c:pt>
                <c:pt idx="1">
                  <c:v>17.91</c:v>
                </c:pt>
                <c:pt idx="2">
                  <c:v>35.82</c:v>
                </c:pt>
                <c:pt idx="3">
                  <c:v>16.11</c:v>
                </c:pt>
                <c:pt idx="4">
                  <c:v>163.61999999999998</c:v>
                </c:pt>
                <c:pt idx="5">
                  <c:v>23.9</c:v>
                </c:pt>
                <c:pt idx="6">
                  <c:v>184.61999999999998</c:v>
                </c:pt>
                <c:pt idx="7">
                  <c:v>88.334999999999994</c:v>
                </c:pt>
                <c:pt idx="8">
                  <c:v>145.78999999999996</c:v>
                </c:pt>
                <c:pt idx="9">
                  <c:v>198.58499999999998</c:v>
                </c:pt>
                <c:pt idx="10">
                  <c:v>185.58999999999997</c:v>
                </c:pt>
                <c:pt idx="11">
                  <c:v>115.27999999999999</c:v>
                </c:pt>
              </c:numCache>
            </c:numRef>
          </c:val>
          <c:smooth val="0"/>
          <c:extLst>
            <c:ext xmlns:c16="http://schemas.microsoft.com/office/drawing/2014/chart" uri="{C3380CC4-5D6E-409C-BE32-E72D297353CC}">
              <c16:uniqueId val="{00000000-FAA0-C042-A399-BDE15F30FE60}"/>
            </c:ext>
          </c:extLst>
        </c:ser>
        <c:dLbls>
          <c:showLegendKey val="0"/>
          <c:showVal val="0"/>
          <c:showCatName val="0"/>
          <c:showSerName val="0"/>
          <c:showPercent val="0"/>
          <c:showBubbleSize val="0"/>
        </c:dLbls>
        <c:smooth val="0"/>
        <c:axId val="201402671"/>
        <c:axId val="254674575"/>
      </c:lineChart>
      <c:catAx>
        <c:axId val="20140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254674575"/>
        <c:crosses val="autoZero"/>
        <c:auto val="1"/>
        <c:lblAlgn val="ctr"/>
        <c:lblOffset val="100"/>
        <c:noMultiLvlLbl val="0"/>
      </c:catAx>
      <c:valAx>
        <c:axId val="254674575"/>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20140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(modified)(AutoRecovered).xlsx]CountryBarChart!TotalSales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solidFill>
              <a:srgbClr val="002060"/>
            </a:solidFill>
            <a:ln>
              <a:noFill/>
            </a:ln>
            <a:effectLst/>
          </c:spPr>
          <c:invertIfNegative val="0"/>
          <c:cat>
            <c:strRef>
              <c:f>CountryBarChart!$A$4:$A$6</c:f>
              <c:strCache>
                <c:ptCount val="3"/>
                <c:pt idx="0">
                  <c:v>United Kingdom</c:v>
                </c:pt>
                <c:pt idx="1">
                  <c:v>Ireland</c:v>
                </c:pt>
                <c:pt idx="2">
                  <c:v>United States</c:v>
                </c:pt>
              </c:strCache>
            </c:strRef>
          </c:cat>
          <c:val>
            <c:numRef>
              <c:f>CountryBarChart!$B$4:$B$6</c:f>
              <c:numCache>
                <c:formatCode>General</c:formatCode>
                <c:ptCount val="3"/>
                <c:pt idx="0">
                  <c:v>2798.5050000000001</c:v>
                </c:pt>
                <c:pt idx="1">
                  <c:v>6696.8649999999989</c:v>
                </c:pt>
                <c:pt idx="2">
                  <c:v>35638.88499999998</c:v>
                </c:pt>
              </c:numCache>
            </c:numRef>
          </c:val>
          <c:extLst>
            <c:ext xmlns:c16="http://schemas.microsoft.com/office/drawing/2014/chart" uri="{C3380CC4-5D6E-409C-BE32-E72D297353CC}">
              <c16:uniqueId val="{00000000-920A-DF4D-861C-8064007D30F4}"/>
            </c:ext>
          </c:extLst>
        </c:ser>
        <c:dLbls>
          <c:showLegendKey val="0"/>
          <c:showVal val="0"/>
          <c:showCatName val="0"/>
          <c:showSerName val="0"/>
          <c:showPercent val="0"/>
          <c:showBubbleSize val="0"/>
        </c:dLbls>
        <c:gapWidth val="182"/>
        <c:axId val="582631615"/>
        <c:axId val="582633263"/>
      </c:barChart>
      <c:catAx>
        <c:axId val="58263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33263"/>
        <c:crosses val="autoZero"/>
        <c:auto val="1"/>
        <c:lblAlgn val="ctr"/>
        <c:lblOffset val="100"/>
        <c:noMultiLvlLbl val="0"/>
      </c:catAx>
      <c:valAx>
        <c:axId val="582633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3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408EE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(modified)(AutoRecovered).xlsx]Top5Customers!TotalSales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endParaRPr lang="en-US" baseline="0"/>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General</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1-246E-5049-8482-2FEA2D86A39E}"/>
            </c:ext>
          </c:extLst>
        </c:ser>
        <c:dLbls>
          <c:dLblPos val="outEnd"/>
          <c:showLegendKey val="0"/>
          <c:showVal val="1"/>
          <c:showCatName val="0"/>
          <c:showSerName val="0"/>
          <c:showPercent val="0"/>
          <c:showBubbleSize val="0"/>
        </c:dLbls>
        <c:gapWidth val="182"/>
        <c:axId val="582631615"/>
        <c:axId val="582633263"/>
      </c:barChart>
      <c:catAx>
        <c:axId val="58263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33263"/>
        <c:crosses val="autoZero"/>
        <c:auto val="1"/>
        <c:lblAlgn val="ctr"/>
        <c:lblOffset val="100"/>
        <c:noMultiLvlLbl val="0"/>
      </c:catAx>
      <c:valAx>
        <c:axId val="582633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3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408EE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(modified)(AutoRecovered).xlsx]TotalSales!TotalSales</c:name>
    <c:fmtId val="5"/>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Total Sales</a:t>
            </a:r>
            <a:r>
              <a:rPr lang="en-US" baseline="0"/>
              <a: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w="28575" cap="rnd">
            <a:solidFill>
              <a:schemeClr val="accent1">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dLbl>
      </c:pivotFmt>
      <c:pivotFmt>
        <c:idx val="2"/>
        <c:spPr>
          <a:solidFill>
            <a:schemeClr val="accent1"/>
          </a:solidFill>
          <a:ln w="28575" cap="rnd">
            <a:solidFill>
              <a:schemeClr val="accent4">
                <a:lumMod val="60000"/>
                <a:lumOff val="4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dLbl>
      </c:pivotFmt>
      <c:pivotFmt>
        <c:idx val="3"/>
        <c:spPr>
          <a:solidFill>
            <a:schemeClr val="accent1"/>
          </a:solidFill>
          <a:ln w="28575" cap="rnd">
            <a:solidFill>
              <a:srgbClr val="FF000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dLbl>
      </c:pivotFmt>
      <c:pivotFmt>
        <c:idx val="4"/>
        <c:spPr>
          <a:solidFill>
            <a:schemeClr val="accent1"/>
          </a:solidFill>
          <a:ln w="28575" cap="rnd">
            <a:solidFill>
              <a:schemeClr val="accent1">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dLbl>
      </c:pivotFmt>
      <c:pivotFmt>
        <c:idx val="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dLbl>
      </c:pivotFmt>
      <c:pivotFmt>
        <c:idx val="6"/>
        <c:spPr>
          <a:solidFill>
            <a:schemeClr val="accent1"/>
          </a:solidFill>
          <a:ln w="28575" cap="rnd">
            <a:solidFill>
              <a:schemeClr val="accent4">
                <a:lumMod val="60000"/>
                <a:lumOff val="4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dLbl>
      </c:pivotFmt>
      <c:pivotFmt>
        <c:idx val="7"/>
        <c:spPr>
          <a:solidFill>
            <a:schemeClr val="accent1"/>
          </a:solidFill>
          <a:ln w="28575" cap="rnd">
            <a:solidFill>
              <a:srgbClr val="FF000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dLbl>
      </c:pivotFmt>
      <c:pivotFmt>
        <c:idx val="8"/>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lumMod val="50000"/>
                </a:schemeClr>
              </a:solidFill>
              <a:round/>
            </a:ln>
            <a:effectLst/>
          </c:spPr>
          <c:marker>
            <c:symbol val="none"/>
          </c:marker>
          <c:cat>
            <c:multiLvlStrRef>
              <c:f>TotalSales!$A$5:$B$17</c:f>
              <c:multiLvlStrCache>
                <c:ptCount val="13"/>
                <c:lvl>
                  <c:pt idx="0">
                    <c:v>Nov</c:v>
                  </c:pt>
                  <c:pt idx="1">
                    <c:v>Dec</c:v>
                  </c:pt>
                  <c:pt idx="2">
                    <c:v>Jan</c:v>
                  </c:pt>
                  <c:pt idx="3">
                    <c:v>Feb</c:v>
                  </c:pt>
                  <c:pt idx="4">
                    <c:v>Mar</c:v>
                  </c:pt>
                  <c:pt idx="5">
                    <c:v>Apr</c:v>
                  </c:pt>
                  <c:pt idx="6">
                    <c:v>May</c:v>
                  </c:pt>
                  <c:pt idx="7">
                    <c:v>Jun</c:v>
                  </c:pt>
                  <c:pt idx="8">
                    <c:v>Jul</c:v>
                  </c:pt>
                  <c:pt idx="9">
                    <c:v>Aug</c:v>
                  </c:pt>
                  <c:pt idx="10">
                    <c:v>Sep</c:v>
                  </c:pt>
                  <c:pt idx="11">
                    <c:v>Oct</c:v>
                  </c:pt>
                  <c:pt idx="12">
                    <c:v>Nov</c:v>
                  </c:pt>
                </c:lvl>
                <c:lvl>
                  <c:pt idx="0">
                    <c:v>2020</c:v>
                  </c:pt>
                  <c:pt idx="2">
                    <c:v>2021</c:v>
                  </c:pt>
                </c:lvl>
              </c:multiLvlStrCache>
            </c:multiLvlStrRef>
          </c:cat>
          <c:val>
            <c:numRef>
              <c:f>TotalSales!$C$5:$C$17</c:f>
              <c:numCache>
                <c:formatCode>General</c:formatCode>
                <c:ptCount val="13"/>
                <c:pt idx="0">
                  <c:v>165.23499999999999</c:v>
                </c:pt>
                <c:pt idx="1">
                  <c:v>23.88</c:v>
                </c:pt>
                <c:pt idx="2">
                  <c:v>106.47</c:v>
                </c:pt>
                <c:pt idx="3">
                  <c:v>169.99999999999997</c:v>
                </c:pt>
                <c:pt idx="4">
                  <c:v>192.40499999999997</c:v>
                </c:pt>
                <c:pt idx="5">
                  <c:v>62.91</c:v>
                </c:pt>
                <c:pt idx="6">
                  <c:v>143.22</c:v>
                </c:pt>
                <c:pt idx="7">
                  <c:v>279.70499999999998</c:v>
                </c:pt>
                <c:pt idx="8">
                  <c:v>109.005</c:v>
                </c:pt>
                <c:pt idx="9">
                  <c:v>119.41999999999999</c:v>
                </c:pt>
                <c:pt idx="10">
                  <c:v>667.51499999999999</c:v>
                </c:pt>
                <c:pt idx="11">
                  <c:v>242.99999999999997</c:v>
                </c:pt>
                <c:pt idx="12">
                  <c:v>63.314999999999998</c:v>
                </c:pt>
              </c:numCache>
            </c:numRef>
          </c:val>
          <c:smooth val="0"/>
          <c:extLst>
            <c:ext xmlns:c16="http://schemas.microsoft.com/office/drawing/2014/chart" uri="{C3380CC4-5D6E-409C-BE32-E72D297353CC}">
              <c16:uniqueId val="{00000000-C602-E543-BCE8-156893220853}"/>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TotalSales!$A$5:$B$17</c:f>
              <c:multiLvlStrCache>
                <c:ptCount val="13"/>
                <c:lvl>
                  <c:pt idx="0">
                    <c:v>Nov</c:v>
                  </c:pt>
                  <c:pt idx="1">
                    <c:v>Dec</c:v>
                  </c:pt>
                  <c:pt idx="2">
                    <c:v>Jan</c:v>
                  </c:pt>
                  <c:pt idx="3">
                    <c:v>Feb</c:v>
                  </c:pt>
                  <c:pt idx="4">
                    <c:v>Mar</c:v>
                  </c:pt>
                  <c:pt idx="5">
                    <c:v>Apr</c:v>
                  </c:pt>
                  <c:pt idx="6">
                    <c:v>May</c:v>
                  </c:pt>
                  <c:pt idx="7">
                    <c:v>Jun</c:v>
                  </c:pt>
                  <c:pt idx="8">
                    <c:v>Jul</c:v>
                  </c:pt>
                  <c:pt idx="9">
                    <c:v>Aug</c:v>
                  </c:pt>
                  <c:pt idx="10">
                    <c:v>Sep</c:v>
                  </c:pt>
                  <c:pt idx="11">
                    <c:v>Oct</c:v>
                  </c:pt>
                  <c:pt idx="12">
                    <c:v>Nov</c:v>
                  </c:pt>
                </c:lvl>
                <c:lvl>
                  <c:pt idx="0">
                    <c:v>2020</c:v>
                  </c:pt>
                  <c:pt idx="2">
                    <c:v>2021</c:v>
                  </c:pt>
                </c:lvl>
              </c:multiLvlStrCache>
            </c:multiLvlStrRef>
          </c:cat>
          <c:val>
            <c:numRef>
              <c:f>TotalSales!$D$5:$D$17</c:f>
              <c:numCache>
                <c:formatCode>General</c:formatCode>
                <c:ptCount val="13"/>
                <c:pt idx="1">
                  <c:v>354.67500000000001</c:v>
                </c:pt>
                <c:pt idx="2">
                  <c:v>12.15</c:v>
                </c:pt>
                <c:pt idx="3">
                  <c:v>48.6</c:v>
                </c:pt>
                <c:pt idx="4">
                  <c:v>307.38499999999999</c:v>
                </c:pt>
                <c:pt idx="5">
                  <c:v>8.91</c:v>
                </c:pt>
                <c:pt idx="6">
                  <c:v>94.710000000000008</c:v>
                </c:pt>
                <c:pt idx="7">
                  <c:v>12.375</c:v>
                </c:pt>
                <c:pt idx="8">
                  <c:v>124.7</c:v>
                </c:pt>
                <c:pt idx="9">
                  <c:v>81.41</c:v>
                </c:pt>
                <c:pt idx="10">
                  <c:v>171.6</c:v>
                </c:pt>
                <c:pt idx="11">
                  <c:v>260.32499999999999</c:v>
                </c:pt>
                <c:pt idx="12">
                  <c:v>459.54999999999995</c:v>
                </c:pt>
              </c:numCache>
            </c:numRef>
          </c:val>
          <c:smooth val="0"/>
          <c:extLst>
            <c:ext xmlns:c16="http://schemas.microsoft.com/office/drawing/2014/chart" uri="{C3380CC4-5D6E-409C-BE32-E72D297353CC}">
              <c16:uniqueId val="{00000001-C602-E543-BCE8-156893220853}"/>
            </c:ext>
          </c:extLst>
        </c:ser>
        <c:ser>
          <c:idx val="2"/>
          <c:order val="2"/>
          <c:tx>
            <c:strRef>
              <c:f>TotalSales!$E$3:$E$4</c:f>
              <c:strCache>
                <c:ptCount val="1"/>
                <c:pt idx="0">
                  <c:v>Liberica</c:v>
                </c:pt>
              </c:strCache>
            </c:strRef>
          </c:tx>
          <c:spPr>
            <a:ln w="28575" cap="rnd">
              <a:solidFill>
                <a:schemeClr val="accent4">
                  <a:lumMod val="60000"/>
                  <a:lumOff val="40000"/>
                </a:schemeClr>
              </a:solidFill>
              <a:round/>
            </a:ln>
            <a:effectLst/>
          </c:spPr>
          <c:marker>
            <c:symbol val="none"/>
          </c:marker>
          <c:cat>
            <c:multiLvlStrRef>
              <c:f>TotalSales!$A$5:$B$17</c:f>
              <c:multiLvlStrCache>
                <c:ptCount val="13"/>
                <c:lvl>
                  <c:pt idx="0">
                    <c:v>Nov</c:v>
                  </c:pt>
                  <c:pt idx="1">
                    <c:v>Dec</c:v>
                  </c:pt>
                  <c:pt idx="2">
                    <c:v>Jan</c:v>
                  </c:pt>
                  <c:pt idx="3">
                    <c:v>Feb</c:v>
                  </c:pt>
                  <c:pt idx="4">
                    <c:v>Mar</c:v>
                  </c:pt>
                  <c:pt idx="5">
                    <c:v>Apr</c:v>
                  </c:pt>
                  <c:pt idx="6">
                    <c:v>May</c:v>
                  </c:pt>
                  <c:pt idx="7">
                    <c:v>Jun</c:v>
                  </c:pt>
                  <c:pt idx="8">
                    <c:v>Jul</c:v>
                  </c:pt>
                  <c:pt idx="9">
                    <c:v>Aug</c:v>
                  </c:pt>
                  <c:pt idx="10">
                    <c:v>Sep</c:v>
                  </c:pt>
                  <c:pt idx="11">
                    <c:v>Oct</c:v>
                  </c:pt>
                  <c:pt idx="12">
                    <c:v>Nov</c:v>
                  </c:pt>
                </c:lvl>
                <c:lvl>
                  <c:pt idx="0">
                    <c:v>2020</c:v>
                  </c:pt>
                  <c:pt idx="2">
                    <c:v>2021</c:v>
                  </c:pt>
                </c:lvl>
              </c:multiLvlStrCache>
            </c:multiLvlStrRef>
          </c:cat>
          <c:val>
            <c:numRef>
              <c:f>TotalSales!$E$5:$E$17</c:f>
              <c:numCache>
                <c:formatCode>General</c:formatCode>
                <c:ptCount val="13"/>
                <c:pt idx="0">
                  <c:v>119.13999999999999</c:v>
                </c:pt>
                <c:pt idx="1">
                  <c:v>70.86</c:v>
                </c:pt>
                <c:pt idx="2">
                  <c:v>200.89000000000001</c:v>
                </c:pt>
                <c:pt idx="3">
                  <c:v>244.06</c:v>
                </c:pt>
                <c:pt idx="4">
                  <c:v>278.14500000000004</c:v>
                </c:pt>
                <c:pt idx="5">
                  <c:v>328.95</c:v>
                </c:pt>
                <c:pt idx="6">
                  <c:v>263.31499999999994</c:v>
                </c:pt>
                <c:pt idx="7">
                  <c:v>187.77499999999998</c:v>
                </c:pt>
                <c:pt idx="8">
                  <c:v>52.305</c:v>
                </c:pt>
                <c:pt idx="9">
                  <c:v>125.58</c:v>
                </c:pt>
                <c:pt idx="10">
                  <c:v>124.71000000000001</c:v>
                </c:pt>
                <c:pt idx="11">
                  <c:v>285.57000000000005</c:v>
                </c:pt>
                <c:pt idx="12">
                  <c:v>275.08999999999997</c:v>
                </c:pt>
              </c:numCache>
            </c:numRef>
          </c:val>
          <c:smooth val="0"/>
          <c:extLst>
            <c:ext xmlns:c16="http://schemas.microsoft.com/office/drawing/2014/chart" uri="{C3380CC4-5D6E-409C-BE32-E72D297353CC}">
              <c16:uniqueId val="{00000002-C602-E543-BCE8-156893220853}"/>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TotalSales!$A$5:$B$17</c:f>
              <c:multiLvlStrCache>
                <c:ptCount val="13"/>
                <c:lvl>
                  <c:pt idx="0">
                    <c:v>Nov</c:v>
                  </c:pt>
                  <c:pt idx="1">
                    <c:v>Dec</c:v>
                  </c:pt>
                  <c:pt idx="2">
                    <c:v>Jan</c:v>
                  </c:pt>
                  <c:pt idx="3">
                    <c:v>Feb</c:v>
                  </c:pt>
                  <c:pt idx="4">
                    <c:v>Mar</c:v>
                  </c:pt>
                  <c:pt idx="5">
                    <c:v>Apr</c:v>
                  </c:pt>
                  <c:pt idx="6">
                    <c:v>May</c:v>
                  </c:pt>
                  <c:pt idx="7">
                    <c:v>Jun</c:v>
                  </c:pt>
                  <c:pt idx="8">
                    <c:v>Jul</c:v>
                  </c:pt>
                  <c:pt idx="9">
                    <c:v>Aug</c:v>
                  </c:pt>
                  <c:pt idx="10">
                    <c:v>Sep</c:v>
                  </c:pt>
                  <c:pt idx="11">
                    <c:v>Oct</c:v>
                  </c:pt>
                  <c:pt idx="12">
                    <c:v>Nov</c:v>
                  </c:pt>
                </c:lvl>
                <c:lvl>
                  <c:pt idx="0">
                    <c:v>2020</c:v>
                  </c:pt>
                  <c:pt idx="2">
                    <c:v>2021</c:v>
                  </c:pt>
                </c:lvl>
              </c:multiLvlStrCache>
            </c:multiLvlStrRef>
          </c:cat>
          <c:val>
            <c:numRef>
              <c:f>TotalSales!$F$5:$F$17</c:f>
              <c:numCache>
                <c:formatCode>General</c:formatCode>
                <c:ptCount val="13"/>
                <c:pt idx="0">
                  <c:v>26.849999999999994</c:v>
                </c:pt>
                <c:pt idx="1">
                  <c:v>17.91</c:v>
                </c:pt>
                <c:pt idx="2">
                  <c:v>35.82</c:v>
                </c:pt>
                <c:pt idx="3">
                  <c:v>16.11</c:v>
                </c:pt>
                <c:pt idx="4">
                  <c:v>163.61999999999998</c:v>
                </c:pt>
                <c:pt idx="5">
                  <c:v>23.9</c:v>
                </c:pt>
                <c:pt idx="6">
                  <c:v>184.61999999999998</c:v>
                </c:pt>
                <c:pt idx="7">
                  <c:v>88.334999999999994</c:v>
                </c:pt>
                <c:pt idx="8">
                  <c:v>145.78999999999996</c:v>
                </c:pt>
                <c:pt idx="9">
                  <c:v>198.58499999999998</c:v>
                </c:pt>
                <c:pt idx="10">
                  <c:v>185.58999999999997</c:v>
                </c:pt>
                <c:pt idx="11">
                  <c:v>115.27999999999999</c:v>
                </c:pt>
              </c:numCache>
            </c:numRef>
          </c:val>
          <c:smooth val="0"/>
          <c:extLst>
            <c:ext xmlns:c16="http://schemas.microsoft.com/office/drawing/2014/chart" uri="{C3380CC4-5D6E-409C-BE32-E72D297353CC}">
              <c16:uniqueId val="{00000005-C602-E543-BCE8-156893220853}"/>
            </c:ext>
          </c:extLst>
        </c:ser>
        <c:dLbls>
          <c:showLegendKey val="0"/>
          <c:showVal val="0"/>
          <c:showCatName val="0"/>
          <c:showSerName val="0"/>
          <c:showPercent val="0"/>
          <c:showBubbleSize val="0"/>
        </c:dLbls>
        <c:smooth val="0"/>
        <c:axId val="201402671"/>
        <c:axId val="254674575"/>
      </c:lineChart>
      <c:catAx>
        <c:axId val="20140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254674575"/>
        <c:crosses val="autoZero"/>
        <c:auto val="1"/>
        <c:lblAlgn val="ctr"/>
        <c:lblOffset val="100"/>
        <c:noMultiLvlLbl val="0"/>
      </c:catAx>
      <c:valAx>
        <c:axId val="254674575"/>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20140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(modified)(AutoRecovered).xlsx]Top5Customers!TotalSales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endParaRPr lang="en-US" baseline="0"/>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General</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DC26-694B-B3DF-D1DF16DCA09F}"/>
            </c:ext>
          </c:extLst>
        </c:ser>
        <c:dLbls>
          <c:dLblPos val="outEnd"/>
          <c:showLegendKey val="0"/>
          <c:showVal val="1"/>
          <c:showCatName val="0"/>
          <c:showSerName val="0"/>
          <c:showPercent val="0"/>
          <c:showBubbleSize val="0"/>
        </c:dLbls>
        <c:gapWidth val="182"/>
        <c:axId val="582631615"/>
        <c:axId val="582633263"/>
      </c:barChart>
      <c:catAx>
        <c:axId val="58263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33263"/>
        <c:crosses val="autoZero"/>
        <c:auto val="1"/>
        <c:lblAlgn val="ctr"/>
        <c:lblOffset val="100"/>
        <c:noMultiLvlLbl val="0"/>
      </c:catAx>
      <c:valAx>
        <c:axId val="582633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3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408EE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(modified)(AutoRecovered).xlsx]CountryBarChart!TotalSales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solidFill>
              <a:srgbClr val="002060"/>
            </a:solidFill>
            <a:ln>
              <a:noFill/>
            </a:ln>
            <a:effectLst/>
          </c:spPr>
          <c:invertIfNegative val="0"/>
          <c:cat>
            <c:strRef>
              <c:f>CountryBarChart!$A$4:$A$6</c:f>
              <c:strCache>
                <c:ptCount val="3"/>
                <c:pt idx="0">
                  <c:v>United Kingdom</c:v>
                </c:pt>
                <c:pt idx="1">
                  <c:v>Ireland</c:v>
                </c:pt>
                <c:pt idx="2">
                  <c:v>United States</c:v>
                </c:pt>
              </c:strCache>
            </c:strRef>
          </c:cat>
          <c:val>
            <c:numRef>
              <c:f>CountryBarChart!$B$4:$B$6</c:f>
              <c:numCache>
                <c:formatCode>General</c:formatCode>
                <c:ptCount val="3"/>
                <c:pt idx="0">
                  <c:v>2798.5050000000001</c:v>
                </c:pt>
                <c:pt idx="1">
                  <c:v>6696.8649999999989</c:v>
                </c:pt>
                <c:pt idx="2">
                  <c:v>35638.88499999998</c:v>
                </c:pt>
              </c:numCache>
            </c:numRef>
          </c:val>
          <c:extLst>
            <c:ext xmlns:c16="http://schemas.microsoft.com/office/drawing/2014/chart" uri="{C3380CC4-5D6E-409C-BE32-E72D297353CC}">
              <c16:uniqueId val="{00000000-3E62-DA4A-8F6F-A2CF4FD30C7A}"/>
            </c:ext>
          </c:extLst>
        </c:ser>
        <c:dLbls>
          <c:showLegendKey val="0"/>
          <c:showVal val="0"/>
          <c:showCatName val="0"/>
          <c:showSerName val="0"/>
          <c:showPercent val="0"/>
          <c:showBubbleSize val="0"/>
        </c:dLbls>
        <c:gapWidth val="182"/>
        <c:axId val="582631615"/>
        <c:axId val="582633263"/>
      </c:barChart>
      <c:catAx>
        <c:axId val="58263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33263"/>
        <c:crosses val="autoZero"/>
        <c:auto val="1"/>
        <c:lblAlgn val="ctr"/>
        <c:lblOffset val="100"/>
        <c:noMultiLvlLbl val="0"/>
      </c:catAx>
      <c:valAx>
        <c:axId val="582633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3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408EE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254000</xdr:colOff>
      <xdr:row>11</xdr:row>
      <xdr:rowOff>0</xdr:rowOff>
    </xdr:from>
    <xdr:to>
      <xdr:col>15</xdr:col>
      <xdr:colOff>0</xdr:colOff>
      <xdr:row>37</xdr:row>
      <xdr:rowOff>12700</xdr:rowOff>
    </xdr:to>
    <xdr:graphicFrame macro="">
      <xdr:nvGraphicFramePr>
        <xdr:cNvPr id="3" name="Chart 2">
          <a:extLst>
            <a:ext uri="{FF2B5EF4-FFF2-40B4-BE49-F238E27FC236}">
              <a16:creationId xmlns:a16="http://schemas.microsoft.com/office/drawing/2014/main" id="{DA7B1012-DC56-5BA9-A1D7-B24D9C6E56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254000</xdr:colOff>
      <xdr:row>3</xdr:row>
      <xdr:rowOff>165100</xdr:rowOff>
    </xdr:from>
    <xdr:to>
      <xdr:col>15</xdr:col>
      <xdr:colOff>0</xdr:colOff>
      <xdr:row>10</xdr:row>
      <xdr:rowOff>152400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1D3B0CE4-1161-EC64-A851-2C8BA339D0F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334000" y="736600"/>
              <a:ext cx="7175500" cy="1320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38100</xdr:colOff>
      <xdr:row>15</xdr:row>
      <xdr:rowOff>139701</xdr:rowOff>
    </xdr:from>
    <xdr:to>
      <xdr:col>18</xdr:col>
      <xdr:colOff>152400</xdr:colOff>
      <xdr:row>20</xdr:row>
      <xdr:rowOff>177800</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FE640C40-EE0F-01FC-FDE6-7F7DF59D22D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2547600" y="2997201"/>
              <a:ext cx="2590800" cy="990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12700</xdr:colOff>
      <xdr:row>6</xdr:row>
      <xdr:rowOff>127001</xdr:rowOff>
    </xdr:from>
    <xdr:to>
      <xdr:col>17</xdr:col>
      <xdr:colOff>711200</xdr:colOff>
      <xdr:row>10</xdr:row>
      <xdr:rowOff>139700</xdr:rowOff>
    </xdr:to>
    <mc:AlternateContent xmlns:mc="http://schemas.openxmlformats.org/markup-compatibility/2006" xmlns:a14="http://schemas.microsoft.com/office/drawing/2010/main">
      <mc:Choice Requires="a14">
        <xdr:graphicFrame macro="">
          <xdr:nvGraphicFramePr>
            <xdr:cNvPr id="6" name="Roast Type Name ">
              <a:extLst>
                <a:ext uri="{FF2B5EF4-FFF2-40B4-BE49-F238E27FC236}">
                  <a16:creationId xmlns:a16="http://schemas.microsoft.com/office/drawing/2014/main" id="{0C5BEA71-25FB-9288-7E76-3E240D1D01D0}"/>
                </a:ext>
              </a:extLst>
            </xdr:cNvPr>
            <xdr:cNvGraphicFramePr/>
          </xdr:nvGraphicFramePr>
          <xdr:xfrm>
            <a:off x="0" y="0"/>
            <a:ext cx="0" cy="0"/>
          </xdr:xfrm>
          <a:graphic>
            <a:graphicData uri="http://schemas.microsoft.com/office/drawing/2010/slicer">
              <sle:slicer xmlns:sle="http://schemas.microsoft.com/office/drawing/2010/slicer" name="Roast Type Name "/>
            </a:graphicData>
          </a:graphic>
        </xdr:graphicFrame>
      </mc:Choice>
      <mc:Fallback xmlns="">
        <xdr:sp macro="" textlink="">
          <xdr:nvSpPr>
            <xdr:cNvPr id="0" name=""/>
            <xdr:cNvSpPr>
              <a:spLocks noTextEdit="1"/>
            </xdr:cNvSpPr>
          </xdr:nvSpPr>
          <xdr:spPr>
            <a:xfrm>
              <a:off x="12522200" y="1270001"/>
              <a:ext cx="2349500" cy="774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25400</xdr:colOff>
      <xdr:row>11</xdr:row>
      <xdr:rowOff>1</xdr:rowOff>
    </xdr:from>
    <xdr:to>
      <xdr:col>17</xdr:col>
      <xdr:colOff>203200</xdr:colOff>
      <xdr:row>15</xdr:row>
      <xdr:rowOff>114301</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1EB151DA-E446-E118-5737-37479C92E271}"/>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534900" y="2095501"/>
              <a:ext cx="182880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38100</xdr:colOff>
      <xdr:row>6</xdr:row>
      <xdr:rowOff>139701</xdr:rowOff>
    </xdr:from>
    <xdr:to>
      <xdr:col>17</xdr:col>
      <xdr:colOff>736600</xdr:colOff>
      <xdr:row>10</xdr:row>
      <xdr:rowOff>152400</xdr:rowOff>
    </xdr:to>
    <mc:AlternateContent xmlns:mc="http://schemas.openxmlformats.org/markup-compatibility/2006">
      <mc:Choice xmlns:a14="http://schemas.microsoft.com/office/drawing/2010/main" Requires="a14">
        <xdr:graphicFrame macro="">
          <xdr:nvGraphicFramePr>
            <xdr:cNvPr id="8" name="Roast Type Name  1">
              <a:extLst>
                <a:ext uri="{FF2B5EF4-FFF2-40B4-BE49-F238E27FC236}">
                  <a16:creationId xmlns:a16="http://schemas.microsoft.com/office/drawing/2014/main" id="{4D0E40A7-E8B3-0D89-5819-EF5310608673}"/>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2547600" y="1282701"/>
              <a:ext cx="2349500" cy="774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495300</xdr:colOff>
      <xdr:row>10</xdr:row>
      <xdr:rowOff>38100</xdr:rowOff>
    </xdr:from>
    <xdr:to>
      <xdr:col>12</xdr:col>
      <xdr:colOff>152400</xdr:colOff>
      <xdr:row>29</xdr:row>
      <xdr:rowOff>19050</xdr:rowOff>
    </xdr:to>
    <xdr:graphicFrame macro="">
      <xdr:nvGraphicFramePr>
        <xdr:cNvPr id="8" name="Chart 7">
          <a:extLst>
            <a:ext uri="{FF2B5EF4-FFF2-40B4-BE49-F238E27FC236}">
              <a16:creationId xmlns:a16="http://schemas.microsoft.com/office/drawing/2014/main" id="{07F4F7CE-4E95-0B11-33EB-5A6B39FFCA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495300</xdr:colOff>
      <xdr:row>10</xdr:row>
      <xdr:rowOff>38100</xdr:rowOff>
    </xdr:from>
    <xdr:to>
      <xdr:col>12</xdr:col>
      <xdr:colOff>469900</xdr:colOff>
      <xdr:row>29</xdr:row>
      <xdr:rowOff>19050</xdr:rowOff>
    </xdr:to>
    <xdr:graphicFrame macro="">
      <xdr:nvGraphicFramePr>
        <xdr:cNvPr id="2" name="Chart 1">
          <a:extLst>
            <a:ext uri="{FF2B5EF4-FFF2-40B4-BE49-F238E27FC236}">
              <a16:creationId xmlns:a16="http://schemas.microsoft.com/office/drawing/2014/main" id="{3FF11341-A043-9A44-90FE-2CC128A7B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16933</xdr:colOff>
      <xdr:row>1</xdr:row>
      <xdr:rowOff>16932</xdr:rowOff>
    </xdr:from>
    <xdr:to>
      <xdr:col>26</xdr:col>
      <xdr:colOff>16933</xdr:colOff>
      <xdr:row>6</xdr:row>
      <xdr:rowOff>16932</xdr:rowOff>
    </xdr:to>
    <xdr:sp macro="" textlink="">
      <xdr:nvSpPr>
        <xdr:cNvPr id="6" name="Rectangle 5">
          <a:extLst>
            <a:ext uri="{FF2B5EF4-FFF2-40B4-BE49-F238E27FC236}">
              <a16:creationId xmlns:a16="http://schemas.microsoft.com/office/drawing/2014/main" id="{A50BA824-62AE-834A-D4F8-26154D63563B}"/>
            </a:ext>
          </a:extLst>
        </xdr:cNvPr>
        <xdr:cNvSpPr/>
      </xdr:nvSpPr>
      <xdr:spPr>
        <a:xfrm>
          <a:off x="152400" y="84665"/>
          <a:ext cx="20743333" cy="931334"/>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6000">
              <a:solidFill>
                <a:schemeClr val="tx1">
                  <a:lumMod val="95000"/>
                  <a:lumOff val="5000"/>
                </a:schemeClr>
              </a:solidFill>
            </a:rPr>
            <a:t>Coffee</a:t>
          </a:r>
          <a:r>
            <a:rPr lang="en-US" sz="6000" baseline="0">
              <a:solidFill>
                <a:schemeClr val="tx1">
                  <a:lumMod val="95000"/>
                  <a:lumOff val="5000"/>
                </a:schemeClr>
              </a:solidFill>
            </a:rPr>
            <a:t> Sales Dashboard </a:t>
          </a:r>
          <a:endParaRPr lang="en-US" sz="6000">
            <a:solidFill>
              <a:schemeClr val="tx1">
                <a:lumMod val="95000"/>
                <a:lumOff val="5000"/>
              </a:schemeClr>
            </a:solidFill>
          </a:endParaRPr>
        </a:p>
      </xdr:txBody>
    </xdr:sp>
    <xdr:clientData/>
  </xdr:twoCellAnchor>
  <xdr:twoCellAnchor editAs="oneCell">
    <xdr:from>
      <xdr:col>0</xdr:col>
      <xdr:colOff>135465</xdr:colOff>
      <xdr:row>6</xdr:row>
      <xdr:rowOff>33866</xdr:rowOff>
    </xdr:from>
    <xdr:to>
      <xdr:col>18</xdr:col>
      <xdr:colOff>812799</xdr:colOff>
      <xdr:row>18</xdr:row>
      <xdr:rowOff>-1</xdr:rowOff>
    </xdr:to>
    <mc:AlternateContent xmlns:mc="http://schemas.openxmlformats.org/markup-compatibility/2006">
      <mc:Choice xmlns:tsle="http://schemas.microsoft.com/office/drawing/2012/timeslicer" Requires="tsle">
        <xdr:graphicFrame macro="">
          <xdr:nvGraphicFramePr>
            <xdr:cNvPr id="7" name="Order Date 1">
              <a:extLst>
                <a:ext uri="{FF2B5EF4-FFF2-40B4-BE49-F238E27FC236}">
                  <a16:creationId xmlns:a16="http://schemas.microsoft.com/office/drawing/2014/main" id="{A2F0F4CD-7A0F-3948-98F1-CE8FD4C1547E}"/>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35465" y="1032933"/>
              <a:ext cx="14918267" cy="220133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-1</xdr:colOff>
      <xdr:row>18</xdr:row>
      <xdr:rowOff>67733</xdr:rowOff>
    </xdr:from>
    <xdr:to>
      <xdr:col>14</xdr:col>
      <xdr:colOff>33867</xdr:colOff>
      <xdr:row>45</xdr:row>
      <xdr:rowOff>4233</xdr:rowOff>
    </xdr:to>
    <xdr:graphicFrame macro="">
      <xdr:nvGraphicFramePr>
        <xdr:cNvPr id="8" name="Chart 7">
          <a:extLst>
            <a:ext uri="{FF2B5EF4-FFF2-40B4-BE49-F238E27FC236}">
              <a16:creationId xmlns:a16="http://schemas.microsoft.com/office/drawing/2014/main" id="{D70E58F7-B024-2348-8194-88A03FD39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16932</xdr:colOff>
      <xdr:row>29</xdr:row>
      <xdr:rowOff>67734</xdr:rowOff>
    </xdr:from>
    <xdr:to>
      <xdr:col>26</xdr:col>
      <xdr:colOff>50799</xdr:colOff>
      <xdr:row>45</xdr:row>
      <xdr:rowOff>16933</xdr:rowOff>
    </xdr:to>
    <xdr:graphicFrame macro="">
      <xdr:nvGraphicFramePr>
        <xdr:cNvPr id="9" name="Chart 8">
          <a:extLst>
            <a:ext uri="{FF2B5EF4-FFF2-40B4-BE49-F238E27FC236}">
              <a16:creationId xmlns:a16="http://schemas.microsoft.com/office/drawing/2014/main" id="{2142111A-946A-694E-A3AD-B31E4EE5C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16933</xdr:colOff>
      <xdr:row>6</xdr:row>
      <xdr:rowOff>67732</xdr:rowOff>
    </xdr:from>
    <xdr:to>
      <xdr:col>26</xdr:col>
      <xdr:colOff>16934</xdr:colOff>
      <xdr:row>11</xdr:row>
      <xdr:rowOff>165098</xdr:rowOff>
    </xdr:to>
    <mc:AlternateContent xmlns:mc="http://schemas.openxmlformats.org/markup-compatibility/2006">
      <mc:Choice xmlns:a14="http://schemas.microsoft.com/office/drawing/2010/main" Requires="a14">
        <xdr:graphicFrame macro="">
          <xdr:nvGraphicFramePr>
            <xdr:cNvPr id="10" name="Roast Type Name  2">
              <a:extLst>
                <a:ext uri="{FF2B5EF4-FFF2-40B4-BE49-F238E27FC236}">
                  <a16:creationId xmlns:a16="http://schemas.microsoft.com/office/drawing/2014/main" id="{DE843C02-A416-D044-AC83-A12CA6A07A8E}"/>
                </a:ext>
              </a:extLst>
            </xdr:cNvPr>
            <xdr:cNvGraphicFramePr/>
          </xdr:nvGraphicFramePr>
          <xdr:xfrm>
            <a:off x="0" y="0"/>
            <a:ext cx="0" cy="0"/>
          </xdr:xfrm>
          <a:graphic>
            <a:graphicData uri="http://schemas.microsoft.com/office/drawing/2010/slicer">
              <sle:slicer xmlns:sle="http://schemas.microsoft.com/office/drawing/2010/slicer" name="Roast Type Name  2"/>
            </a:graphicData>
          </a:graphic>
        </xdr:graphicFrame>
      </mc:Choice>
      <mc:Fallback>
        <xdr:sp macro="" textlink="">
          <xdr:nvSpPr>
            <xdr:cNvPr id="0" name=""/>
            <xdr:cNvSpPr>
              <a:spLocks noTextEdit="1"/>
            </xdr:cNvSpPr>
          </xdr:nvSpPr>
          <xdr:spPr>
            <a:xfrm>
              <a:off x="15087600" y="1066799"/>
              <a:ext cx="5808134" cy="1028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389466</xdr:colOff>
      <xdr:row>11</xdr:row>
      <xdr:rowOff>169333</xdr:rowOff>
    </xdr:from>
    <xdr:to>
      <xdr:col>26</xdr:col>
      <xdr:colOff>16933</xdr:colOff>
      <xdr:row>18</xdr:row>
      <xdr:rowOff>-1</xdr:rowOff>
    </xdr:to>
    <mc:AlternateContent xmlns:mc="http://schemas.openxmlformats.org/markup-compatibility/2006">
      <mc:Choice xmlns:a14="http://schemas.microsoft.com/office/drawing/2010/main" Requires="a14">
        <xdr:graphicFrame macro="">
          <xdr:nvGraphicFramePr>
            <xdr:cNvPr id="11" name="Loyalty Card 1">
              <a:extLst>
                <a:ext uri="{FF2B5EF4-FFF2-40B4-BE49-F238E27FC236}">
                  <a16:creationId xmlns:a16="http://schemas.microsoft.com/office/drawing/2014/main" id="{B4510190-17AB-C242-9795-F76E8C84951F}"/>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7949333" y="2099733"/>
              <a:ext cx="2946400" cy="11345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16932</xdr:colOff>
      <xdr:row>11</xdr:row>
      <xdr:rowOff>169333</xdr:rowOff>
    </xdr:from>
    <xdr:to>
      <xdr:col>22</xdr:col>
      <xdr:colOff>389465</xdr:colOff>
      <xdr:row>18</xdr:row>
      <xdr:rowOff>33866</xdr:rowOff>
    </xdr:to>
    <mc:AlternateContent xmlns:mc="http://schemas.openxmlformats.org/markup-compatibility/2006">
      <mc:Choice xmlns:a14="http://schemas.microsoft.com/office/drawing/2010/main" Requires="a14">
        <xdr:graphicFrame macro="">
          <xdr:nvGraphicFramePr>
            <xdr:cNvPr id="12" name="Size 1">
              <a:extLst>
                <a:ext uri="{FF2B5EF4-FFF2-40B4-BE49-F238E27FC236}">
                  <a16:creationId xmlns:a16="http://schemas.microsoft.com/office/drawing/2014/main" id="{494DEF82-7B78-AD4B-82F3-0FDDBC8659D0}"/>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5087599" y="2099733"/>
              <a:ext cx="2861733" cy="116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33867</xdr:colOff>
      <xdr:row>18</xdr:row>
      <xdr:rowOff>-1</xdr:rowOff>
    </xdr:from>
    <xdr:to>
      <xdr:col>26</xdr:col>
      <xdr:colOff>33867</xdr:colOff>
      <xdr:row>29</xdr:row>
      <xdr:rowOff>50799</xdr:rowOff>
    </xdr:to>
    <xdr:graphicFrame macro="">
      <xdr:nvGraphicFramePr>
        <xdr:cNvPr id="13" name="Chart 12">
          <a:extLst>
            <a:ext uri="{FF2B5EF4-FFF2-40B4-BE49-F238E27FC236}">
              <a16:creationId xmlns:a16="http://schemas.microsoft.com/office/drawing/2014/main" id="{BF11D965-6072-5646-8F8D-E76D33CBA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70.981094791663" createdVersion="8" refreshedVersion="8" minRefreshableVersion="3" recordCount="1000" xr:uid="{0550D85A-6B16-CC4C-8F01-A6E60A732E1D}">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base="1">
        <rangePr groupBy="months" startDate="2019-01-02T00:00:00" endDate="2022-08-20T00:00:00"/>
        <groupItems count="14">
          <s v="&lt;1/2/19"/>
          <s v="Jan"/>
          <s v="Feb"/>
          <s v="Mar"/>
          <s v="Apr"/>
          <s v="May"/>
          <s v="Jun"/>
          <s v="Jul"/>
          <s v="Aug"/>
          <s v="Sep"/>
          <s v="Oct"/>
          <s v="Nov"/>
          <s v="Dec"/>
          <s v="&gt;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 numFmtId="0">
      <sharedItems count="4">
        <s v="Robusta"/>
        <s v="Excelsa"/>
        <s v="Arabica"/>
        <s v="Liberica"/>
      </sharedItems>
    </cacheField>
    <cacheField name="Roast Type Name " numFmtId="0">
      <sharedItems count="3">
        <s v="Medium"/>
        <s v="Light"/>
        <s v="Dark"/>
      </sharedItems>
    </cacheField>
    <cacheField name="Loyalty Card" numFmtId="0">
      <sharedItems count="2">
        <s v="Yes"/>
        <s v="No"/>
      </sharedItems>
    </cacheField>
    <cacheField name="Quarters" numFmtId="0" databaseField="0">
      <fieldGroup base="1">
        <rangePr groupBy="quarters" startDate="2019-01-02T00:00:00" endDate="2022-08-20T00:00:00"/>
        <groupItems count="6">
          <s v="&lt;1/2/19"/>
          <s v="Qtr1"/>
          <s v="Qtr2"/>
          <s v="Qtr3"/>
          <s v="Qtr4"/>
          <s v="&gt;8/20/22"/>
        </groupItems>
      </fieldGroup>
    </cacheField>
    <cacheField name="Years" numFmtId="0" databaseField="0">
      <fieldGroup base="1">
        <rangePr groupBy="years" startDate="2019-01-02T00:00:00" endDate="2022-08-20T00:00:00"/>
        <groupItems count="6">
          <s v="&lt;1/2/19"/>
          <s v="2019"/>
          <s v="2020"/>
          <s v="2021"/>
          <s v="2022"/>
          <s v="&gt;8/20/22"/>
        </groupItems>
      </fieldGroup>
    </cacheField>
  </cacheFields>
  <extLst>
    <ext xmlns:x14="http://schemas.microsoft.com/office/spreadsheetml/2009/9/main" uri="{725AE2AE-9491-48be-B2B4-4EB974FC3084}">
      <x14:pivotCacheDefinition pivotCacheId="14432839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0366E0-D572-FE49-8BC7-72C58002F24A}"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17" firstHeaderRow="1" firstDataRow="2" firstDataCol="2"/>
  <pivotFields count="18">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compact="0" outline="0" showAll="0" defaultSubtotal="0">
      <items count="6">
        <item x="0"/>
        <item x="1"/>
        <item x="2"/>
        <item x="3"/>
        <item x="4"/>
        <item x="5"/>
      </items>
    </pivotField>
    <pivotField axis="axisRow" compact="0" outline="0" showAll="0" defaultSubtotal="0">
      <items count="6">
        <item x="0"/>
        <item x="1"/>
        <item x="2"/>
        <item x="3"/>
        <item x="4"/>
        <item x="5"/>
      </items>
    </pivotField>
  </pivotFields>
  <rowFields count="2">
    <field x="17"/>
    <field x="1"/>
  </rowFields>
  <rowItems count="13">
    <i>
      <x v="2"/>
      <x v="11"/>
    </i>
    <i r="1">
      <x v="12"/>
    </i>
    <i>
      <x v="3"/>
      <x v="1"/>
    </i>
    <i r="1">
      <x v="2"/>
    </i>
    <i r="1">
      <x v="3"/>
    </i>
    <i r="1">
      <x v="4"/>
    </i>
    <i r="1">
      <x v="5"/>
    </i>
    <i r="1">
      <x v="6"/>
    </i>
    <i r="1">
      <x v="7"/>
    </i>
    <i r="1">
      <x v="8"/>
    </i>
    <i r="1">
      <x v="9"/>
    </i>
    <i r="1">
      <x v="10"/>
    </i>
    <i r="1">
      <x v="11"/>
    </i>
  </rowItems>
  <colFields count="1">
    <field x="13"/>
  </colFields>
  <colItems count="4">
    <i>
      <x/>
    </i>
    <i>
      <x v="1"/>
    </i>
    <i>
      <x v="2"/>
    </i>
    <i>
      <x v="3"/>
    </i>
  </colItems>
  <dataFields count="1">
    <dataField name="Sum of Sales" fld="12" baseField="0" baseItem="0"/>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2"/>
          </reference>
        </references>
      </pivotArea>
    </chartFormat>
    <chartFormat chart="5"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18" name="Order Date">
      <autoFilter ref="A1">
        <filterColumn colId="0">
          <customFilters and="1">
            <customFilter operator="greaterThanOrEqual" val="44136"/>
            <customFilter operator="lessThanOrEqual" val="445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75D595-6A67-0B45-8990-45D0B93D49B3}" name="Total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A3:B6" firstHeaderRow="1" firstDataRow="1" firstDataCol="1"/>
  <pivotFields count="18">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x="1"/>
        <item h="1" x="0"/>
        <item h="1"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compact="0" outline="0" showAll="0" defaultSubtotal="0">
      <items count="6">
        <item x="0"/>
        <item x="1"/>
        <item x="2"/>
        <item x="3"/>
        <item x="4"/>
        <item x="5"/>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dataFields>
  <chartFormats count="7">
    <chartFormat chart="4" format="12"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4F8113-63FB-154A-952B-615DA5D4B2BC}" name="Total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1">
  <location ref="A3:B8" firstHeaderRow="1" firstDataRow="1" firstDataCol="1"/>
  <pivotFields count="18">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x="1"/>
        <item h="1" x="0"/>
        <item h="1"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compact="0" outline="0" showAll="0" defaultSubtotal="0">
      <items count="6">
        <item x="0"/>
        <item x="1"/>
        <item x="2"/>
        <item x="3"/>
        <item x="4"/>
        <item x="5"/>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dataFields>
  <chartFormats count="6">
    <chartFormat chart="4" format="12"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E699AFB-FAAF-6E45-88D6-CB0267E93ADB}" sourceName="Size">
  <pivotTables>
    <pivotTable tabId="18" name="TotalSales"/>
  </pivotTables>
  <data>
    <tabular pivotCacheId="144328398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8D2827EF-35C3-1D41-B007-C42E0007367D}" sourceName="Roast Type Name ">
  <pivotTables>
    <pivotTable tabId="18" name="TotalSales"/>
  </pivotTables>
  <data>
    <tabular pivotCacheId="144328398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8C8D2339-067C-A74A-AED6-E102FB30A8C5}" sourceName="Loyalty Card">
  <pivotTables>
    <pivotTable tabId="18" name="TotalSales"/>
  </pivotTables>
  <data>
    <tabular pivotCacheId="1443283982">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C5CE532-C77B-CD4C-B929-7BA13B74FF0B}" cache="Slicer_Size" caption="Size" columnCount="2" style="SlicerStyleDark1" rowHeight="230716"/>
  <slicer name="Roast Type Name " xr10:uid="{8DD93316-8451-0045-B0DD-360EB0635E16}" cache="Slicer_Roast_Type_Name" caption="Roast Type Name " columnCount="3" style="SlicerStyleDark1" rowHeight="230716"/>
  <slicer name="Roast Type Name  1" xr10:uid="{84A56270-D0B9-184B-B954-566C48540EF7}" cache="Slicer_Roast_Type_Name" caption="Roast Type Name " columnCount="3" style="SlicerStyleDark1" rowHeight="230716"/>
  <slicer name="Loyalty Card" xr10:uid="{31FD13BB-378D-4E4D-9BD3-0CA5B0772D59}" cache="Slicer_Loyalty_Card" caption="Loyalty Card" style="SlicerStyleDark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479779AC-BBB2-4E47-B62C-CD5E4E6B6E7D}" cache="Slicer_Size" caption="Size" columnCount="2" style="SlicerStyleDark1" rowHeight="230716"/>
  <slicer name="Roast Type Name  2" xr10:uid="{3DE34365-191A-524C-9BEA-88B880EAFBA7}" cache="Slicer_Roast_Type_Name" caption="Roast Type Name " columnCount="3" style="SlicerStyleDark1" rowHeight="230716"/>
  <slicer name="Loyalty Card 1" xr10:uid="{63D0857A-0E14-3442-B803-FB1CB8FF9067}" cache="Slicer_Loyalty_Card" caption="Loyalty Card" style="SlicerStyleDark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B57AA4-B6FE-6747-BF65-83B34CE98795}" name="Table1" displayName="Table1" ref="A1:P1001" totalsRowShown="0" headerRowDxfId="11">
  <autoFilter ref="A1:P1001" xr:uid="{F2B57AA4-B6FE-6747-BF65-83B34CE98795}"/>
  <tableColumns count="16">
    <tableColumn id="1" xr3:uid="{21C813DD-FE02-F043-90E0-2A25E8B353F0}" name="Order ID" dataDxfId="10"/>
    <tableColumn id="2" xr3:uid="{ECB55054-5609-CC46-A27C-E7AFAB0286E8}" name="Order Date" dataDxfId="9"/>
    <tableColumn id="3" xr3:uid="{7552CC97-1A98-F640-988E-6F098F929C52}" name="Customer ID" dataDxfId="8"/>
    <tableColumn id="4" xr3:uid="{9AC9F0C8-8DB0-6C48-87E0-8C23ADF8E395}" name="Product ID"/>
    <tableColumn id="5" xr3:uid="{9251FE14-75D0-AC46-93C2-612ABB210B29}" name="Quantity" dataDxfId="7"/>
    <tableColumn id="6" xr3:uid="{615B0496-1861-D34D-A684-6D0D160343F2}" name="Customer Name" dataDxfId="6">
      <calculatedColumnFormula>_xlfn.XLOOKUP(C2,customers!$A$1:$A$1001,customers!$B$1:$B$1001,,0)</calculatedColumnFormula>
    </tableColumn>
    <tableColumn id="7" xr3:uid="{14095B66-F0F6-E04D-B88C-9D6D2D4BEBFD}" name="Email" dataDxfId="5">
      <calculatedColumnFormula>IF(_xlfn.XLOOKUP(C2,customers!$A$1:$A$1001,customers!$C$1:$C$1001,,0)=0,"",_xlfn.XLOOKUP(C2,customers!$A$1:$A$1001,customers!$C$1:$C$1001,,0))</calculatedColumnFormula>
    </tableColumn>
    <tableColumn id="8" xr3:uid="{C3FA71EA-D6D4-534A-A252-74F19D6BC4A4}" name="Country" dataDxfId="4">
      <calculatedColumnFormula>_xlfn.XLOOKUP(C2,customers!$A$1:$A$1001,customers!$G$1:$G$1001,,0)</calculatedColumnFormula>
    </tableColumn>
    <tableColumn id="9" xr3:uid="{91B66266-0517-9A48-8F42-088967759F39}" name="Coffee Type">
      <calculatedColumnFormula>INDEX(products!$A$1:$G$49,MATCH(orders!$D2,products!$A$1:$A$49,0),MATCH(orders!I$1,products!$A$1:$G$1,0))</calculatedColumnFormula>
    </tableColumn>
    <tableColumn id="10" xr3:uid="{71015052-4F8B-644E-94CB-7D16D3D1FBD1}" name="Roast Type">
      <calculatedColumnFormula>INDEX(products!$A$1:$G$49,MATCH(orders!$D2,products!$A$1:$A$49,0),MATCH(orders!J$1,products!$A$1:$G$1,0))</calculatedColumnFormula>
    </tableColumn>
    <tableColumn id="11" xr3:uid="{FE30386F-F4D0-0444-9824-ABA5F4733FFF}" name="Size" dataDxfId="3">
      <calculatedColumnFormula>INDEX(products!$A$1:$G$49,MATCH(orders!$D2,products!$A$1:$A$49,0),MATCH(orders!K$1,products!$A$1:$G$1,0))</calculatedColumnFormula>
    </tableColumn>
    <tableColumn id="12" xr3:uid="{811B6667-A346-A548-A4D5-8F678C3EBC8E}" name="Unit Price" dataDxfId="2" dataCellStyle="Currency">
      <calculatedColumnFormula>INDEX(products!$A$1:$G$49,MATCH(orders!$D2,products!$A$1:$A$49,0),MATCH(orders!L$1,products!$A$1:$G$1,0))</calculatedColumnFormula>
    </tableColumn>
    <tableColumn id="13" xr3:uid="{205AAEC1-F177-AC4A-8A91-0CD1115400E9}" name="Sales" dataDxfId="1" dataCellStyle="Currency">
      <calculatedColumnFormula>L2*E2</calculatedColumnFormula>
    </tableColumn>
    <tableColumn id="14" xr3:uid="{B070440D-1B1F-5143-AD93-995F4B248FFA}" name="Coffee Type Name ">
      <calculatedColumnFormula>IF(I2="Rob","Robusta", IF(I2="Exc","Excelsa", IF(I2= "Ara", "Arabica", IF(I2= "Lib","Liberica", ""))))</calculatedColumnFormula>
    </tableColumn>
    <tableColumn id="15" xr3:uid="{5689EF89-69CF-9142-B30C-BBF68FC6761E}" name="Roast Type Name ">
      <calculatedColumnFormula>IF(J2= "M", "Medium",IF(J2= "L","Light", IF(J2= "D", "Dark")))</calculatedColumnFormula>
    </tableColumn>
    <tableColumn id="16" xr3:uid="{A55EE046-46A3-6C4C-885C-FF11B5F8A010}" name="Loyalty Card" dataDxfId="0">
      <calculatedColumnFormula>_xlfn.XLOOKUP(Table1[[#This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7AEB28F-62FC-CA49-8475-4DCD082159AF}" sourceName="Order Date">
  <pivotTables>
    <pivotTable tabId="18" name="TotalSales"/>
  </pivotTables>
  <state minimalRefreshVersion="6" lastRefreshVersion="6" pivotCacheId="1443283982" filterType="dateBetween">
    <selection startDate="2020-11-01T00:00:00" endDate="2021-11-30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1AF9D9B-2257-3141-8E5E-C6C70AA17EC1}" cache="NativeTimeline_Order_Date" caption="Order Date" level="2" selectionLevel="2" scrollPosition="2019-11-25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C1CCD997-C40C-024F-A364-8B4CFE598299}" cache="NativeTimeline_Order_Date" caption="Order Date" level="2" selectionLevel="2" scrollPosition="2019-11-25T00:00:00" style="TimeSlicerStyleDark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12EEA-9B28-AB46-8C12-8757E3476A3E}">
  <dimension ref="A3:F17"/>
  <sheetViews>
    <sheetView workbookViewId="0">
      <selection activeCell="F25" sqref="F25"/>
    </sheetView>
  </sheetViews>
  <sheetFormatPr baseColWidth="10" defaultRowHeight="15" x14ac:dyDescent="0.2"/>
  <cols>
    <col min="1" max="2" width="12.1640625" bestFit="1" customWidth="1"/>
    <col min="3" max="3" width="17.83203125" bestFit="1" customWidth="1"/>
    <col min="4" max="6" width="8.1640625" bestFit="1" customWidth="1"/>
  </cols>
  <sheetData>
    <row r="3" spans="1:6" x14ac:dyDescent="0.2">
      <c r="A3" s="6" t="s">
        <v>6217</v>
      </c>
      <c r="C3" s="6" t="s">
        <v>6196</v>
      </c>
    </row>
    <row r="4" spans="1:6" x14ac:dyDescent="0.2">
      <c r="A4" s="6" t="s">
        <v>6212</v>
      </c>
      <c r="B4" s="6" t="s">
        <v>1</v>
      </c>
      <c r="C4" t="s">
        <v>6213</v>
      </c>
      <c r="D4" t="s">
        <v>6214</v>
      </c>
      <c r="E4" t="s">
        <v>6215</v>
      </c>
      <c r="F4" t="s">
        <v>6216</v>
      </c>
    </row>
    <row r="5" spans="1:6" x14ac:dyDescent="0.2">
      <c r="A5" t="s">
        <v>6210</v>
      </c>
      <c r="B5" s="7" t="s">
        <v>6208</v>
      </c>
      <c r="C5" s="8">
        <v>165.23499999999999</v>
      </c>
      <c r="D5" s="8"/>
      <c r="E5" s="8">
        <v>119.13999999999999</v>
      </c>
      <c r="F5" s="8">
        <v>26.849999999999994</v>
      </c>
    </row>
    <row r="6" spans="1:6" x14ac:dyDescent="0.2">
      <c r="B6" s="7" t="s">
        <v>6209</v>
      </c>
      <c r="C6" s="8">
        <v>23.88</v>
      </c>
      <c r="D6" s="8">
        <v>354.67500000000001</v>
      </c>
      <c r="E6" s="8">
        <v>70.86</v>
      </c>
      <c r="F6" s="8">
        <v>17.91</v>
      </c>
    </row>
    <row r="7" spans="1:6" x14ac:dyDescent="0.2">
      <c r="A7" t="s">
        <v>6211</v>
      </c>
      <c r="B7" s="7" t="s">
        <v>6198</v>
      </c>
      <c r="C7" s="8">
        <v>106.47</v>
      </c>
      <c r="D7" s="8">
        <v>12.15</v>
      </c>
      <c r="E7" s="8">
        <v>200.89000000000001</v>
      </c>
      <c r="F7" s="8">
        <v>35.82</v>
      </c>
    </row>
    <row r="8" spans="1:6" x14ac:dyDescent="0.2">
      <c r="B8" s="7" t="s">
        <v>6199</v>
      </c>
      <c r="C8" s="8">
        <v>169.99999999999997</v>
      </c>
      <c r="D8" s="8">
        <v>48.6</v>
      </c>
      <c r="E8" s="8">
        <v>244.06</v>
      </c>
      <c r="F8" s="8">
        <v>16.11</v>
      </c>
    </row>
    <row r="9" spans="1:6" x14ac:dyDescent="0.2">
      <c r="B9" s="7" t="s">
        <v>6200</v>
      </c>
      <c r="C9" s="8">
        <v>192.40499999999997</v>
      </c>
      <c r="D9" s="8">
        <v>307.38499999999999</v>
      </c>
      <c r="E9" s="8">
        <v>278.14500000000004</v>
      </c>
      <c r="F9" s="8">
        <v>163.61999999999998</v>
      </c>
    </row>
    <row r="10" spans="1:6" x14ac:dyDescent="0.2">
      <c r="B10" s="7" t="s">
        <v>6201</v>
      </c>
      <c r="C10" s="8">
        <v>62.91</v>
      </c>
      <c r="D10" s="8">
        <v>8.91</v>
      </c>
      <c r="E10" s="8">
        <v>328.95</v>
      </c>
      <c r="F10" s="8">
        <v>23.9</v>
      </c>
    </row>
    <row r="11" spans="1:6" x14ac:dyDescent="0.2">
      <c r="B11" s="7" t="s">
        <v>6202</v>
      </c>
      <c r="C11" s="8">
        <v>143.22</v>
      </c>
      <c r="D11" s="8">
        <v>94.710000000000008</v>
      </c>
      <c r="E11" s="8">
        <v>263.31499999999994</v>
      </c>
      <c r="F11" s="8">
        <v>184.61999999999998</v>
      </c>
    </row>
    <row r="12" spans="1:6" x14ac:dyDescent="0.2">
      <c r="B12" s="7" t="s">
        <v>6203</v>
      </c>
      <c r="C12" s="8">
        <v>279.70499999999998</v>
      </c>
      <c r="D12" s="8">
        <v>12.375</v>
      </c>
      <c r="E12" s="8">
        <v>187.77499999999998</v>
      </c>
      <c r="F12" s="8">
        <v>88.334999999999994</v>
      </c>
    </row>
    <row r="13" spans="1:6" x14ac:dyDescent="0.2">
      <c r="B13" s="7" t="s">
        <v>6204</v>
      </c>
      <c r="C13" s="8">
        <v>109.005</v>
      </c>
      <c r="D13" s="8">
        <v>124.7</v>
      </c>
      <c r="E13" s="8">
        <v>52.305</v>
      </c>
      <c r="F13" s="8">
        <v>145.78999999999996</v>
      </c>
    </row>
    <row r="14" spans="1:6" x14ac:dyDescent="0.2">
      <c r="B14" s="7" t="s">
        <v>6205</v>
      </c>
      <c r="C14" s="8">
        <v>119.41999999999999</v>
      </c>
      <c r="D14" s="8">
        <v>81.41</v>
      </c>
      <c r="E14" s="8">
        <v>125.58</v>
      </c>
      <c r="F14" s="8">
        <v>198.58499999999998</v>
      </c>
    </row>
    <row r="15" spans="1:6" x14ac:dyDescent="0.2">
      <c r="B15" s="7" t="s">
        <v>6206</v>
      </c>
      <c r="C15" s="8">
        <v>667.51499999999999</v>
      </c>
      <c r="D15" s="8">
        <v>171.6</v>
      </c>
      <c r="E15" s="8">
        <v>124.71000000000001</v>
      </c>
      <c r="F15" s="8">
        <v>185.58999999999997</v>
      </c>
    </row>
    <row r="16" spans="1:6" x14ac:dyDescent="0.2">
      <c r="B16" s="7" t="s">
        <v>6207</v>
      </c>
      <c r="C16" s="8">
        <v>242.99999999999997</v>
      </c>
      <c r="D16" s="8">
        <v>260.32499999999999</v>
      </c>
      <c r="E16" s="8">
        <v>285.57000000000005</v>
      </c>
      <c r="F16" s="8">
        <v>115.27999999999999</v>
      </c>
    </row>
    <row r="17" spans="2:6" x14ac:dyDescent="0.2">
      <c r="B17" s="7" t="s">
        <v>6208</v>
      </c>
      <c r="C17" s="8">
        <v>63.314999999999998</v>
      </c>
      <c r="D17" s="8">
        <v>459.54999999999995</v>
      </c>
      <c r="E17" s="8">
        <v>275.08999999999997</v>
      </c>
      <c r="F17" s="8"/>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22A46-6009-6B46-AC8A-49715111C395}">
  <dimension ref="A3:B6"/>
  <sheetViews>
    <sheetView workbookViewId="0">
      <selection activeCell="M12" sqref="M12"/>
    </sheetView>
  </sheetViews>
  <sheetFormatPr baseColWidth="10" defaultRowHeight="15" x14ac:dyDescent="0.2"/>
  <cols>
    <col min="1" max="1" width="13.5" bestFit="1" customWidth="1"/>
    <col min="2" max="2" width="10.5" bestFit="1" customWidth="1"/>
    <col min="3" max="4" width="7.33203125" bestFit="1" customWidth="1"/>
    <col min="5" max="5" width="9.1640625" bestFit="1" customWidth="1"/>
    <col min="6" max="6" width="8.1640625" bestFit="1" customWidth="1"/>
  </cols>
  <sheetData>
    <row r="3" spans="1:2" x14ac:dyDescent="0.2">
      <c r="A3" s="6" t="s">
        <v>7</v>
      </c>
      <c r="B3" t="s">
        <v>6217</v>
      </c>
    </row>
    <row r="4" spans="1:2" x14ac:dyDescent="0.2">
      <c r="A4" t="s">
        <v>28</v>
      </c>
      <c r="B4">
        <v>2798.5050000000001</v>
      </c>
    </row>
    <row r="5" spans="1:2" x14ac:dyDescent="0.2">
      <c r="A5" t="s">
        <v>318</v>
      </c>
      <c r="B5">
        <v>6696.8649999999989</v>
      </c>
    </row>
    <row r="6" spans="1:2" x14ac:dyDescent="0.2">
      <c r="A6" t="s">
        <v>19</v>
      </c>
      <c r="B6">
        <v>35638.88499999998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A5997-C0FA-F24F-8787-3F4BFE2B1F20}">
  <dimension ref="A3:B8"/>
  <sheetViews>
    <sheetView workbookViewId="0">
      <selection activeCell="C13" sqref="C13"/>
    </sheetView>
  </sheetViews>
  <sheetFormatPr baseColWidth="10" defaultRowHeight="15" x14ac:dyDescent="0.2"/>
  <cols>
    <col min="1" max="1" width="16" bestFit="1" customWidth="1"/>
    <col min="2" max="3" width="10.5" bestFit="1" customWidth="1"/>
    <col min="4" max="4" width="7.33203125" bestFit="1" customWidth="1"/>
    <col min="5" max="5" width="9.1640625" bestFit="1" customWidth="1"/>
    <col min="6" max="6" width="8.1640625" bestFit="1" customWidth="1"/>
  </cols>
  <sheetData>
    <row r="3" spans="1:2" x14ac:dyDescent="0.2">
      <c r="A3" s="6" t="s">
        <v>4</v>
      </c>
      <c r="B3" t="s">
        <v>6217</v>
      </c>
    </row>
    <row r="4" spans="1:2" x14ac:dyDescent="0.2">
      <c r="A4" t="s">
        <v>3753</v>
      </c>
      <c r="B4">
        <v>278.01</v>
      </c>
    </row>
    <row r="5" spans="1:2" x14ac:dyDescent="0.2">
      <c r="A5" t="s">
        <v>1598</v>
      </c>
      <c r="B5">
        <v>281.67499999999995</v>
      </c>
    </row>
    <row r="6" spans="1:2" x14ac:dyDescent="0.2">
      <c r="A6" t="s">
        <v>2587</v>
      </c>
      <c r="B6">
        <v>289.11</v>
      </c>
    </row>
    <row r="7" spans="1:2" x14ac:dyDescent="0.2">
      <c r="A7" t="s">
        <v>5765</v>
      </c>
      <c r="B7">
        <v>307.04499999999996</v>
      </c>
    </row>
    <row r="8" spans="1:2" x14ac:dyDescent="0.2">
      <c r="A8" t="s">
        <v>5114</v>
      </c>
      <c r="B8">
        <v>317.06999999999994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04118-967E-9842-85CF-9F310D812FF6}">
  <dimension ref="A1"/>
  <sheetViews>
    <sheetView workbookViewId="0">
      <selection activeCell="I19" sqref="I19"/>
    </sheetView>
  </sheetViews>
  <sheetFormatPr baseColWidth="10" defaultRowHeight="15" x14ac:dyDescent="0.2"/>
  <sheetData>
    <row r="1" spans="1:1" x14ac:dyDescent="0.2">
      <c r="A1" t="s">
        <v>6218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86" zoomScaleNormal="115" workbookViewId="0">
      <selection activeCell="E1" sqref="E1"/>
    </sheetView>
  </sheetViews>
  <sheetFormatPr baseColWidth="10" defaultColWidth="8.83203125" defaultRowHeight="15" x14ac:dyDescent="0.2"/>
  <cols>
    <col min="1" max="1" width="16.5" bestFit="1" customWidth="1"/>
    <col min="2" max="2" width="12" customWidth="1"/>
    <col min="3" max="3" width="17.5" bestFit="1" customWidth="1"/>
    <col min="4" max="4" width="11.33203125" customWidth="1"/>
    <col min="5" max="5" width="10" customWidth="1"/>
    <col min="6" max="6" width="15.6640625" customWidth="1"/>
    <col min="7" max="7" width="33.83203125" bestFit="1" customWidth="1"/>
    <col min="8" max="8" width="13.5" bestFit="1" customWidth="1"/>
    <col min="9" max="9" width="12.33203125" customWidth="1"/>
    <col min="10" max="10" width="11.83203125" customWidth="1"/>
    <col min="11" max="11" width="6.5" customWidth="1"/>
    <col min="12" max="12" width="10.6640625" customWidth="1"/>
    <col min="13" max="13" width="8.6640625" bestFit="1" customWidth="1"/>
    <col min="14" max="14" width="17.83203125" customWidth="1"/>
    <col min="15" max="15" width="17.1640625" customWidth="1"/>
    <col min="16" max="16" width="13" bestFit="1"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 IF(I2="Exc","Excelsa", IF(I2= "Ara", "Arabica", IF(I2= "Lib","Liberica", ""))))</f>
        <v>Robusta</v>
      </c>
      <c r="O2" t="str">
        <f>IF(J2= "M", "Medium",IF(J2= "L","Light", IF(J2= "D", "Dark")))</f>
        <v>Medium</v>
      </c>
      <c r="P2" t="str">
        <f>_xlfn.XLOOKUP(Table1[[#This Row],[Customer ID]],customers!$A$1:$A$1001,customers!$I$1:$I$1001,,0)</f>
        <v>Yes</v>
      </c>
    </row>
    <row r="3" spans="1:16" x14ac:dyDescent="0.2">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 IF(I3="Exc","Excelsa", IF(I3= "Ara", "Arabica", IF(I3= "Lib","Liberica", ""))))</f>
        <v>Excelsa</v>
      </c>
      <c r="O3" t="str">
        <f t="shared" ref="O3:O66" si="2">IF(J3= "M", "Medium",IF(J3= "L","Light", IF(J3= "D", "Dark")))</f>
        <v>Medium</v>
      </c>
      <c r="P3" t="str">
        <f>_xlfn.XLOOKUP(Table1[[#This Row],[Customer ID]],customers!$A$1:$A$1001,customers!$I$1:$I$1001,,0)</f>
        <v>Yes</v>
      </c>
    </row>
    <row r="4" spans="1:16" x14ac:dyDescent="0.2">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_xlfn.XLOOKUP(Table1[[#This Row],[Customer ID]],customers!$A$1:$A$1001,customers!$I$1:$I$1001,,0)</f>
        <v>Yes</v>
      </c>
    </row>
    <row r="5" spans="1:16" x14ac:dyDescent="0.2">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_xlfn.XLOOKUP(Table1[[#This Row],[Customer ID]],customers!$A$1:$A$1001,customers!$I$1:$I$1001,,0)</f>
        <v>No</v>
      </c>
    </row>
    <row r="6" spans="1:16" x14ac:dyDescent="0.2">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_xlfn.XLOOKUP(Table1[[#This Row],[Customer ID]],customers!$A$1:$A$1001,customers!$I$1:$I$1001,,0)</f>
        <v>No</v>
      </c>
    </row>
    <row r="7" spans="1:16" x14ac:dyDescent="0.2">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_xlfn.XLOOKUP(Table1[[#This Row],[Customer ID]],customers!$A$1:$A$1001,customers!$I$1:$I$1001,,0)</f>
        <v>No</v>
      </c>
    </row>
    <row r="8" spans="1:16" x14ac:dyDescent="0.2">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_xlfn.XLOOKUP(Table1[[#This Row],[Customer ID]],customers!$A$1:$A$1001,customers!$I$1:$I$1001,,0)</f>
        <v>Yes</v>
      </c>
    </row>
    <row r="9" spans="1:16" x14ac:dyDescent="0.2">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_xlfn.XLOOKUP(Table1[[#This Row],[Customer ID]],customers!$A$1:$A$1001,customers!$I$1:$I$1001,,0)</f>
        <v>Yes</v>
      </c>
    </row>
    <row r="10" spans="1:16" x14ac:dyDescent="0.2">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_xlfn.XLOOKUP(Table1[[#This Row],[Customer ID]],customers!$A$1:$A$1001,customers!$I$1:$I$1001,,0)</f>
        <v>No</v>
      </c>
    </row>
    <row r="11" spans="1:16" x14ac:dyDescent="0.2">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_xlfn.XLOOKUP(Table1[[#This Row],[Customer ID]],customers!$A$1:$A$1001,customers!$I$1:$I$1001,,0)</f>
        <v>No</v>
      </c>
    </row>
    <row r="12" spans="1:16" x14ac:dyDescent="0.2">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_xlfn.XLOOKUP(Table1[[#This Row],[Customer ID]],customers!$A$1:$A$1001,customers!$I$1:$I$1001,,0)</f>
        <v>No</v>
      </c>
    </row>
    <row r="13" spans="1:16" x14ac:dyDescent="0.2">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_xlfn.XLOOKUP(Table1[[#This Row],[Customer ID]],customers!$A$1:$A$1001,customers!$I$1:$I$1001,,0)</f>
        <v>Yes</v>
      </c>
    </row>
    <row r="14" spans="1:16" x14ac:dyDescent="0.2">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_xlfn.XLOOKUP(Table1[[#This Row],[Customer ID]],customers!$A$1:$A$1001,customers!$I$1:$I$1001,,0)</f>
        <v>No</v>
      </c>
    </row>
    <row r="15" spans="1:16" x14ac:dyDescent="0.2">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_xlfn.XLOOKUP(Table1[[#This Row],[Customer ID]],customers!$A$1:$A$1001,customers!$I$1:$I$1001,,0)</f>
        <v>No</v>
      </c>
    </row>
    <row r="16" spans="1:16" x14ac:dyDescent="0.2">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_xlfn.XLOOKUP(Table1[[#This Row],[Customer ID]],customers!$A$1:$A$1001,customers!$I$1:$I$1001,,0)</f>
        <v>Yes</v>
      </c>
    </row>
    <row r="17" spans="1:16" x14ac:dyDescent="0.2">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_xlfn.XLOOKUP(Table1[[#This Row],[Customer ID]],customers!$A$1:$A$1001,customers!$I$1:$I$1001,,0)</f>
        <v>No</v>
      </c>
    </row>
    <row r="18" spans="1:16" x14ac:dyDescent="0.2">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_xlfn.XLOOKUP(Table1[[#This Row],[Customer ID]],customers!$A$1:$A$1001,customers!$I$1:$I$1001,,0)</f>
        <v>No</v>
      </c>
    </row>
    <row r="19" spans="1:16" x14ac:dyDescent="0.2">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_xlfn.XLOOKUP(Table1[[#This Row],[Customer ID]],customers!$A$1:$A$1001,customers!$I$1:$I$1001,,0)</f>
        <v>No</v>
      </c>
    </row>
    <row r="20" spans="1:16" x14ac:dyDescent="0.2">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_xlfn.XLOOKUP(Table1[[#This Row],[Customer ID]],customers!$A$1:$A$1001,customers!$I$1:$I$1001,,0)</f>
        <v>Yes</v>
      </c>
    </row>
    <row r="21" spans="1:16" x14ac:dyDescent="0.2">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_xlfn.XLOOKUP(Table1[[#This Row],[Customer ID]],customers!$A$1:$A$1001,customers!$I$1:$I$1001,,0)</f>
        <v>Yes</v>
      </c>
    </row>
    <row r="22" spans="1:16" x14ac:dyDescent="0.2">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_xlfn.XLOOKUP(Table1[[#This Row],[Customer ID]],customers!$A$1:$A$1001,customers!$I$1:$I$1001,,0)</f>
        <v>Yes</v>
      </c>
    </row>
    <row r="23" spans="1:16" x14ac:dyDescent="0.2">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_xlfn.XLOOKUP(Table1[[#This Row],[Customer ID]],customers!$A$1:$A$1001,customers!$I$1:$I$1001,,0)</f>
        <v>No</v>
      </c>
    </row>
    <row r="24" spans="1:16" x14ac:dyDescent="0.2">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_xlfn.XLOOKUP(Table1[[#This Row],[Customer ID]],customers!$A$1:$A$1001,customers!$I$1:$I$1001,,0)</f>
        <v>Yes</v>
      </c>
    </row>
    <row r="25" spans="1:16" x14ac:dyDescent="0.2">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_xlfn.XLOOKUP(Table1[[#This Row],[Customer ID]],customers!$A$1:$A$1001,customers!$I$1:$I$1001,,0)</f>
        <v>Yes</v>
      </c>
    </row>
    <row r="26" spans="1:16" x14ac:dyDescent="0.2">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_xlfn.XLOOKUP(Table1[[#This Row],[Customer ID]],customers!$A$1:$A$1001,customers!$I$1:$I$1001,,0)</f>
        <v>No</v>
      </c>
    </row>
    <row r="27" spans="1:16" x14ac:dyDescent="0.2">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_xlfn.XLOOKUP(Table1[[#This Row],[Customer ID]],customers!$A$1:$A$1001,customers!$I$1:$I$1001,,0)</f>
        <v>Yes</v>
      </c>
    </row>
    <row r="28" spans="1:16" x14ac:dyDescent="0.2">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_xlfn.XLOOKUP(Table1[[#This Row],[Customer ID]],customers!$A$1:$A$1001,customers!$I$1:$I$1001,,0)</f>
        <v>Yes</v>
      </c>
    </row>
    <row r="29" spans="1:16" x14ac:dyDescent="0.2">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_xlfn.XLOOKUP(Table1[[#This Row],[Customer ID]],customers!$A$1:$A$1001,customers!$I$1:$I$1001,,0)</f>
        <v>No</v>
      </c>
    </row>
    <row r="30" spans="1:16" x14ac:dyDescent="0.2">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_xlfn.XLOOKUP(Table1[[#This Row],[Customer ID]],customers!$A$1:$A$1001,customers!$I$1:$I$1001,,0)</f>
        <v>No</v>
      </c>
    </row>
    <row r="31" spans="1:16" x14ac:dyDescent="0.2">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_xlfn.XLOOKUP(Table1[[#This Row],[Customer ID]],customers!$A$1:$A$1001,customers!$I$1:$I$1001,,0)</f>
        <v>Yes</v>
      </c>
    </row>
    <row r="32" spans="1:16" x14ac:dyDescent="0.2">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_xlfn.XLOOKUP(Table1[[#This Row],[Customer ID]],customers!$A$1:$A$1001,customers!$I$1:$I$1001,,0)</f>
        <v>No</v>
      </c>
    </row>
    <row r="33" spans="1:16" x14ac:dyDescent="0.2">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_xlfn.XLOOKUP(Table1[[#This Row],[Customer ID]],customers!$A$1:$A$1001,customers!$I$1:$I$1001,,0)</f>
        <v>No</v>
      </c>
    </row>
    <row r="34" spans="1:16" x14ac:dyDescent="0.2">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_xlfn.XLOOKUP(Table1[[#This Row],[Customer ID]],customers!$A$1:$A$1001,customers!$I$1:$I$1001,,0)</f>
        <v>No</v>
      </c>
    </row>
    <row r="35" spans="1:16" x14ac:dyDescent="0.2">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_xlfn.XLOOKUP(Table1[[#This Row],[Customer ID]],customers!$A$1:$A$1001,customers!$I$1:$I$1001,,0)</f>
        <v>No</v>
      </c>
    </row>
    <row r="36" spans="1:16" x14ac:dyDescent="0.2">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_xlfn.XLOOKUP(Table1[[#This Row],[Customer ID]],customers!$A$1:$A$1001,customers!$I$1:$I$1001,,0)</f>
        <v>Yes</v>
      </c>
    </row>
    <row r="37" spans="1:16" x14ac:dyDescent="0.2">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_xlfn.XLOOKUP(Table1[[#This Row],[Customer ID]],customers!$A$1:$A$1001,customers!$I$1:$I$1001,,0)</f>
        <v>No</v>
      </c>
    </row>
    <row r="38" spans="1:16" x14ac:dyDescent="0.2">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_xlfn.XLOOKUP(Table1[[#This Row],[Customer ID]],customers!$A$1:$A$1001,customers!$I$1:$I$1001,,0)</f>
        <v>No</v>
      </c>
    </row>
    <row r="39" spans="1:16" x14ac:dyDescent="0.2">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_xlfn.XLOOKUP(Table1[[#This Row],[Customer ID]],customers!$A$1:$A$1001,customers!$I$1:$I$1001,,0)</f>
        <v>No</v>
      </c>
    </row>
    <row r="40" spans="1:16" x14ac:dyDescent="0.2">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_xlfn.XLOOKUP(Table1[[#This Row],[Customer ID]],customers!$A$1:$A$1001,customers!$I$1:$I$1001,,0)</f>
        <v>No</v>
      </c>
    </row>
    <row r="41" spans="1:16" x14ac:dyDescent="0.2">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_xlfn.XLOOKUP(Table1[[#This Row],[Customer ID]],customers!$A$1:$A$1001,customers!$I$1:$I$1001,,0)</f>
        <v>Yes</v>
      </c>
    </row>
    <row r="42" spans="1:16" x14ac:dyDescent="0.2">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_xlfn.XLOOKUP(Table1[[#This Row],[Customer ID]],customers!$A$1:$A$1001,customers!$I$1:$I$1001,,0)</f>
        <v>No</v>
      </c>
    </row>
    <row r="43" spans="1:16" x14ac:dyDescent="0.2">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_xlfn.XLOOKUP(Table1[[#This Row],[Customer ID]],customers!$A$1:$A$1001,customers!$I$1:$I$1001,,0)</f>
        <v>Yes</v>
      </c>
    </row>
    <row r="44" spans="1:16" x14ac:dyDescent="0.2">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_xlfn.XLOOKUP(Table1[[#This Row],[Customer ID]],customers!$A$1:$A$1001,customers!$I$1:$I$1001,,0)</f>
        <v>Yes</v>
      </c>
    </row>
    <row r="45" spans="1:16" x14ac:dyDescent="0.2">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_xlfn.XLOOKUP(Table1[[#This Row],[Customer ID]],customers!$A$1:$A$1001,customers!$I$1:$I$1001,,0)</f>
        <v>No</v>
      </c>
    </row>
    <row r="46" spans="1:16" x14ac:dyDescent="0.2">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_xlfn.XLOOKUP(Table1[[#This Row],[Customer ID]],customers!$A$1:$A$1001,customers!$I$1:$I$1001,,0)</f>
        <v>Yes</v>
      </c>
    </row>
    <row r="47" spans="1:16" x14ac:dyDescent="0.2">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_xlfn.XLOOKUP(Table1[[#This Row],[Customer ID]],customers!$A$1:$A$1001,customers!$I$1:$I$1001,,0)</f>
        <v>No</v>
      </c>
    </row>
    <row r="48" spans="1:16" x14ac:dyDescent="0.2">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_xlfn.XLOOKUP(Table1[[#This Row],[Customer ID]],customers!$A$1:$A$1001,customers!$I$1:$I$1001,,0)</f>
        <v>Yes</v>
      </c>
    </row>
    <row r="49" spans="1:16" x14ac:dyDescent="0.2">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_xlfn.XLOOKUP(Table1[[#This Row],[Customer ID]],customers!$A$1:$A$1001,customers!$I$1:$I$1001,,0)</f>
        <v>Yes</v>
      </c>
    </row>
    <row r="50" spans="1:16" x14ac:dyDescent="0.2">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_xlfn.XLOOKUP(Table1[[#This Row],[Customer ID]],customers!$A$1:$A$1001,customers!$I$1:$I$1001,,0)</f>
        <v>No</v>
      </c>
    </row>
    <row r="51" spans="1:16" x14ac:dyDescent="0.2">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_xlfn.XLOOKUP(Table1[[#This Row],[Customer ID]],customers!$A$1:$A$1001,customers!$I$1:$I$1001,,0)</f>
        <v>No</v>
      </c>
    </row>
    <row r="52" spans="1:16" x14ac:dyDescent="0.2">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_xlfn.XLOOKUP(Table1[[#This Row],[Customer ID]],customers!$A$1:$A$1001,customers!$I$1:$I$1001,,0)</f>
        <v>No</v>
      </c>
    </row>
    <row r="53" spans="1:16" x14ac:dyDescent="0.2">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_xlfn.XLOOKUP(Table1[[#This Row],[Customer ID]],customers!$A$1:$A$1001,customers!$I$1:$I$1001,,0)</f>
        <v>Yes</v>
      </c>
    </row>
    <row r="54" spans="1:16" x14ac:dyDescent="0.2">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_xlfn.XLOOKUP(Table1[[#This Row],[Customer ID]],customers!$A$1:$A$1001,customers!$I$1:$I$1001,,0)</f>
        <v>No</v>
      </c>
    </row>
    <row r="55" spans="1:16" x14ac:dyDescent="0.2">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_xlfn.XLOOKUP(Table1[[#This Row],[Customer ID]],customers!$A$1:$A$1001,customers!$I$1:$I$1001,,0)</f>
        <v>No</v>
      </c>
    </row>
    <row r="56" spans="1:16" x14ac:dyDescent="0.2">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_xlfn.XLOOKUP(Table1[[#This Row],[Customer ID]],customers!$A$1:$A$1001,customers!$I$1:$I$1001,,0)</f>
        <v>No</v>
      </c>
    </row>
    <row r="57" spans="1:16" x14ac:dyDescent="0.2">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_xlfn.XLOOKUP(Table1[[#This Row],[Customer ID]],customers!$A$1:$A$1001,customers!$I$1:$I$1001,,0)</f>
        <v>No</v>
      </c>
    </row>
    <row r="58" spans="1:16" x14ac:dyDescent="0.2">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_xlfn.XLOOKUP(Table1[[#This Row],[Customer ID]],customers!$A$1:$A$1001,customers!$I$1:$I$1001,,0)</f>
        <v>Yes</v>
      </c>
    </row>
    <row r="59" spans="1:16" x14ac:dyDescent="0.2">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_xlfn.XLOOKUP(Table1[[#This Row],[Customer ID]],customers!$A$1:$A$1001,customers!$I$1:$I$1001,,0)</f>
        <v>No</v>
      </c>
    </row>
    <row r="60" spans="1:16" x14ac:dyDescent="0.2">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_xlfn.XLOOKUP(Table1[[#This Row],[Customer ID]],customers!$A$1:$A$1001,customers!$I$1:$I$1001,,0)</f>
        <v>Yes</v>
      </c>
    </row>
    <row r="61" spans="1:16" x14ac:dyDescent="0.2">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_xlfn.XLOOKUP(Table1[[#This Row],[Customer ID]],customers!$A$1:$A$1001,customers!$I$1:$I$1001,,0)</f>
        <v>Yes</v>
      </c>
    </row>
    <row r="62" spans="1:16" x14ac:dyDescent="0.2">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_xlfn.XLOOKUP(Table1[[#This Row],[Customer ID]],customers!$A$1:$A$1001,customers!$I$1:$I$1001,,0)</f>
        <v>No</v>
      </c>
    </row>
    <row r="63" spans="1:16" x14ac:dyDescent="0.2">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_xlfn.XLOOKUP(Table1[[#This Row],[Customer ID]],customers!$A$1:$A$1001,customers!$I$1:$I$1001,,0)</f>
        <v>Yes</v>
      </c>
    </row>
    <row r="64" spans="1:16" x14ac:dyDescent="0.2">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_xlfn.XLOOKUP(Table1[[#This Row],[Customer ID]],customers!$A$1:$A$1001,customers!$I$1:$I$1001,,0)</f>
        <v>Yes</v>
      </c>
    </row>
    <row r="65" spans="1:16" x14ac:dyDescent="0.2">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_xlfn.XLOOKUP(Table1[[#This Row],[Customer ID]],customers!$A$1:$A$1001,customers!$I$1:$I$1001,,0)</f>
        <v>No</v>
      </c>
    </row>
    <row r="66" spans="1:16" x14ac:dyDescent="0.2">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_xlfn.XLOOKUP(Table1[[#This Row],[Customer ID]],customers!$A$1:$A$1001,customers!$I$1:$I$1001,,0)</f>
        <v>Yes</v>
      </c>
    </row>
    <row r="67" spans="1:16" x14ac:dyDescent="0.2">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 IF(I67="Exc","Excelsa", IF(I67= "Ara", "Arabica", IF(I67= "Lib","Liberica", ""))))</f>
        <v>Robusta</v>
      </c>
      <c r="O67" t="str">
        <f t="shared" ref="O67:O130" si="5">IF(J67= "M", "Medium",IF(J67= "L","Light", IF(J67= "D", "Dark")))</f>
        <v>Dark</v>
      </c>
      <c r="P67" t="str">
        <f>_xlfn.XLOOKUP(Table1[[#This Row],[Customer ID]],customers!$A$1:$A$1001,customers!$I$1:$I$1001,,0)</f>
        <v>Yes</v>
      </c>
    </row>
    <row r="68" spans="1:16" x14ac:dyDescent="0.2">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_xlfn.XLOOKUP(Table1[[#This Row],[Customer ID]],customers!$A$1:$A$1001,customers!$I$1:$I$1001,,0)</f>
        <v>Yes</v>
      </c>
    </row>
    <row r="69" spans="1:16" x14ac:dyDescent="0.2">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_xlfn.XLOOKUP(Table1[[#This Row],[Customer ID]],customers!$A$1:$A$1001,customers!$I$1:$I$1001,,0)</f>
        <v>No</v>
      </c>
    </row>
    <row r="70" spans="1:16" x14ac:dyDescent="0.2">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_xlfn.XLOOKUP(Table1[[#This Row],[Customer ID]],customers!$A$1:$A$1001,customers!$I$1:$I$1001,,0)</f>
        <v>No</v>
      </c>
    </row>
    <row r="71" spans="1:16" x14ac:dyDescent="0.2">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_xlfn.XLOOKUP(Table1[[#This Row],[Customer ID]],customers!$A$1:$A$1001,customers!$I$1:$I$1001,,0)</f>
        <v>Yes</v>
      </c>
    </row>
    <row r="72" spans="1:16" x14ac:dyDescent="0.2">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_xlfn.XLOOKUP(Table1[[#This Row],[Customer ID]],customers!$A$1:$A$1001,customers!$I$1:$I$1001,,0)</f>
        <v>No</v>
      </c>
    </row>
    <row r="73" spans="1:16" x14ac:dyDescent="0.2">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_xlfn.XLOOKUP(Table1[[#This Row],[Customer ID]],customers!$A$1:$A$1001,customers!$I$1:$I$1001,,0)</f>
        <v>No</v>
      </c>
    </row>
    <row r="74" spans="1:16" x14ac:dyDescent="0.2">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_xlfn.XLOOKUP(Table1[[#This Row],[Customer ID]],customers!$A$1:$A$1001,customers!$I$1:$I$1001,,0)</f>
        <v>No</v>
      </c>
    </row>
    <row r="75" spans="1:16" x14ac:dyDescent="0.2">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_xlfn.XLOOKUP(Table1[[#This Row],[Customer ID]],customers!$A$1:$A$1001,customers!$I$1:$I$1001,,0)</f>
        <v>Yes</v>
      </c>
    </row>
    <row r="76" spans="1:16" x14ac:dyDescent="0.2">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_xlfn.XLOOKUP(Table1[[#This Row],[Customer ID]],customers!$A$1:$A$1001,customers!$I$1:$I$1001,,0)</f>
        <v>Yes</v>
      </c>
    </row>
    <row r="77" spans="1:16" x14ac:dyDescent="0.2">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_xlfn.XLOOKUP(Table1[[#This Row],[Customer ID]],customers!$A$1:$A$1001,customers!$I$1:$I$1001,,0)</f>
        <v>Yes</v>
      </c>
    </row>
    <row r="78" spans="1:16" x14ac:dyDescent="0.2">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_xlfn.XLOOKUP(Table1[[#This Row],[Customer ID]],customers!$A$1:$A$1001,customers!$I$1:$I$1001,,0)</f>
        <v>Yes</v>
      </c>
    </row>
    <row r="79" spans="1:16" x14ac:dyDescent="0.2">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_xlfn.XLOOKUP(Table1[[#This Row],[Customer ID]],customers!$A$1:$A$1001,customers!$I$1:$I$1001,,0)</f>
        <v>No</v>
      </c>
    </row>
    <row r="80" spans="1:16" x14ac:dyDescent="0.2">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_xlfn.XLOOKUP(Table1[[#This Row],[Customer ID]],customers!$A$1:$A$1001,customers!$I$1:$I$1001,,0)</f>
        <v>Yes</v>
      </c>
    </row>
    <row r="81" spans="1:16" x14ac:dyDescent="0.2">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_xlfn.XLOOKUP(Table1[[#This Row],[Customer ID]],customers!$A$1:$A$1001,customers!$I$1:$I$1001,,0)</f>
        <v>No</v>
      </c>
    </row>
    <row r="82" spans="1:16" x14ac:dyDescent="0.2">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_xlfn.XLOOKUP(Table1[[#This Row],[Customer ID]],customers!$A$1:$A$1001,customers!$I$1:$I$1001,,0)</f>
        <v>Yes</v>
      </c>
    </row>
    <row r="83" spans="1:16" x14ac:dyDescent="0.2">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_xlfn.XLOOKUP(Table1[[#This Row],[Customer ID]],customers!$A$1:$A$1001,customers!$I$1:$I$1001,,0)</f>
        <v>Yes</v>
      </c>
    </row>
    <row r="84" spans="1:16" x14ac:dyDescent="0.2">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_xlfn.XLOOKUP(Table1[[#This Row],[Customer ID]],customers!$A$1:$A$1001,customers!$I$1:$I$1001,,0)</f>
        <v>Yes</v>
      </c>
    </row>
    <row r="85" spans="1:16" x14ac:dyDescent="0.2">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_xlfn.XLOOKUP(Table1[[#This Row],[Customer ID]],customers!$A$1:$A$1001,customers!$I$1:$I$1001,,0)</f>
        <v>Yes</v>
      </c>
    </row>
    <row r="86" spans="1:16" x14ac:dyDescent="0.2">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_xlfn.XLOOKUP(Table1[[#This Row],[Customer ID]],customers!$A$1:$A$1001,customers!$I$1:$I$1001,,0)</f>
        <v>No</v>
      </c>
    </row>
    <row r="87" spans="1:16" x14ac:dyDescent="0.2">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_xlfn.XLOOKUP(Table1[[#This Row],[Customer ID]],customers!$A$1:$A$1001,customers!$I$1:$I$1001,,0)</f>
        <v>No</v>
      </c>
    </row>
    <row r="88" spans="1:16" x14ac:dyDescent="0.2">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_xlfn.XLOOKUP(Table1[[#This Row],[Customer ID]],customers!$A$1:$A$1001,customers!$I$1:$I$1001,,0)</f>
        <v>No</v>
      </c>
    </row>
    <row r="89" spans="1:16" x14ac:dyDescent="0.2">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_xlfn.XLOOKUP(Table1[[#This Row],[Customer ID]],customers!$A$1:$A$1001,customers!$I$1:$I$1001,,0)</f>
        <v>No</v>
      </c>
    </row>
    <row r="90" spans="1:16" x14ac:dyDescent="0.2">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_xlfn.XLOOKUP(Table1[[#This Row],[Customer ID]],customers!$A$1:$A$1001,customers!$I$1:$I$1001,,0)</f>
        <v>No</v>
      </c>
    </row>
    <row r="91" spans="1:16" x14ac:dyDescent="0.2">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_xlfn.XLOOKUP(Table1[[#This Row],[Customer ID]],customers!$A$1:$A$1001,customers!$I$1:$I$1001,,0)</f>
        <v>No</v>
      </c>
    </row>
    <row r="92" spans="1:16" x14ac:dyDescent="0.2">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_xlfn.XLOOKUP(Table1[[#This Row],[Customer ID]],customers!$A$1:$A$1001,customers!$I$1:$I$1001,,0)</f>
        <v>Yes</v>
      </c>
    </row>
    <row r="93" spans="1:16" x14ac:dyDescent="0.2">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_xlfn.XLOOKUP(Table1[[#This Row],[Customer ID]],customers!$A$1:$A$1001,customers!$I$1:$I$1001,,0)</f>
        <v>No</v>
      </c>
    </row>
    <row r="94" spans="1:16" x14ac:dyDescent="0.2">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_xlfn.XLOOKUP(Table1[[#This Row],[Customer ID]],customers!$A$1:$A$1001,customers!$I$1:$I$1001,,0)</f>
        <v>Yes</v>
      </c>
    </row>
    <row r="95" spans="1:16" x14ac:dyDescent="0.2">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_xlfn.XLOOKUP(Table1[[#This Row],[Customer ID]],customers!$A$1:$A$1001,customers!$I$1:$I$1001,,0)</f>
        <v>Yes</v>
      </c>
    </row>
    <row r="96" spans="1:16" x14ac:dyDescent="0.2">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_xlfn.XLOOKUP(Table1[[#This Row],[Customer ID]],customers!$A$1:$A$1001,customers!$I$1:$I$1001,,0)</f>
        <v>Yes</v>
      </c>
    </row>
    <row r="97" spans="1:16" x14ac:dyDescent="0.2">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_xlfn.XLOOKUP(Table1[[#This Row],[Customer ID]],customers!$A$1:$A$1001,customers!$I$1:$I$1001,,0)</f>
        <v>No</v>
      </c>
    </row>
    <row r="98" spans="1:16" x14ac:dyDescent="0.2">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_xlfn.XLOOKUP(Table1[[#This Row],[Customer ID]],customers!$A$1:$A$1001,customers!$I$1:$I$1001,,0)</f>
        <v>No</v>
      </c>
    </row>
    <row r="99" spans="1:16" x14ac:dyDescent="0.2">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_xlfn.XLOOKUP(Table1[[#This Row],[Customer ID]],customers!$A$1:$A$1001,customers!$I$1:$I$1001,,0)</f>
        <v>No</v>
      </c>
    </row>
    <row r="100" spans="1:16" x14ac:dyDescent="0.2">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_xlfn.XLOOKUP(Table1[[#This Row],[Customer ID]],customers!$A$1:$A$1001,customers!$I$1:$I$1001,,0)</f>
        <v>No</v>
      </c>
    </row>
    <row r="101" spans="1:16" x14ac:dyDescent="0.2">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_xlfn.XLOOKUP(Table1[[#This Row],[Customer ID]],customers!$A$1:$A$1001,customers!$I$1:$I$1001,,0)</f>
        <v>Yes</v>
      </c>
    </row>
    <row r="102" spans="1:16" x14ac:dyDescent="0.2">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_xlfn.XLOOKUP(Table1[[#This Row],[Customer ID]],customers!$A$1:$A$1001,customers!$I$1:$I$1001,,0)</f>
        <v>Yes</v>
      </c>
    </row>
    <row r="103" spans="1:16" x14ac:dyDescent="0.2">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_xlfn.XLOOKUP(Table1[[#This Row],[Customer ID]],customers!$A$1:$A$1001,customers!$I$1:$I$1001,,0)</f>
        <v>Yes</v>
      </c>
    </row>
    <row r="104" spans="1:16" x14ac:dyDescent="0.2">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_xlfn.XLOOKUP(Table1[[#This Row],[Customer ID]],customers!$A$1:$A$1001,customers!$I$1:$I$1001,,0)</f>
        <v>Yes</v>
      </c>
    </row>
    <row r="105" spans="1:16" x14ac:dyDescent="0.2">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_xlfn.XLOOKUP(Table1[[#This Row],[Customer ID]],customers!$A$1:$A$1001,customers!$I$1:$I$1001,,0)</f>
        <v>No</v>
      </c>
    </row>
    <row r="106" spans="1:16" x14ac:dyDescent="0.2">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_xlfn.XLOOKUP(Table1[[#This Row],[Customer ID]],customers!$A$1:$A$1001,customers!$I$1:$I$1001,,0)</f>
        <v>No</v>
      </c>
    </row>
    <row r="107" spans="1:16" x14ac:dyDescent="0.2">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_xlfn.XLOOKUP(Table1[[#This Row],[Customer ID]],customers!$A$1:$A$1001,customers!$I$1:$I$1001,,0)</f>
        <v>Yes</v>
      </c>
    </row>
    <row r="108" spans="1:16" x14ac:dyDescent="0.2">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_xlfn.XLOOKUP(Table1[[#This Row],[Customer ID]],customers!$A$1:$A$1001,customers!$I$1:$I$1001,,0)</f>
        <v>No</v>
      </c>
    </row>
    <row r="109" spans="1:16" x14ac:dyDescent="0.2">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_xlfn.XLOOKUP(Table1[[#This Row],[Customer ID]],customers!$A$1:$A$1001,customers!$I$1:$I$1001,,0)</f>
        <v>Yes</v>
      </c>
    </row>
    <row r="110" spans="1:16" x14ac:dyDescent="0.2">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_xlfn.XLOOKUP(Table1[[#This Row],[Customer ID]],customers!$A$1:$A$1001,customers!$I$1:$I$1001,,0)</f>
        <v>No</v>
      </c>
    </row>
    <row r="111" spans="1:16" x14ac:dyDescent="0.2">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_xlfn.XLOOKUP(Table1[[#This Row],[Customer ID]],customers!$A$1:$A$1001,customers!$I$1:$I$1001,,0)</f>
        <v>Yes</v>
      </c>
    </row>
    <row r="112" spans="1:16" x14ac:dyDescent="0.2">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_xlfn.XLOOKUP(Table1[[#This Row],[Customer ID]],customers!$A$1:$A$1001,customers!$I$1:$I$1001,,0)</f>
        <v>Yes</v>
      </c>
    </row>
    <row r="113" spans="1:16" x14ac:dyDescent="0.2">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_xlfn.XLOOKUP(Table1[[#This Row],[Customer ID]],customers!$A$1:$A$1001,customers!$I$1:$I$1001,,0)</f>
        <v>No</v>
      </c>
    </row>
    <row r="114" spans="1:16" x14ac:dyDescent="0.2">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_xlfn.XLOOKUP(Table1[[#This Row],[Customer ID]],customers!$A$1:$A$1001,customers!$I$1:$I$1001,,0)</f>
        <v>No</v>
      </c>
    </row>
    <row r="115" spans="1:16" x14ac:dyDescent="0.2">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_xlfn.XLOOKUP(Table1[[#This Row],[Customer ID]],customers!$A$1:$A$1001,customers!$I$1:$I$1001,,0)</f>
        <v>No</v>
      </c>
    </row>
    <row r="116" spans="1:16" x14ac:dyDescent="0.2">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_xlfn.XLOOKUP(Table1[[#This Row],[Customer ID]],customers!$A$1:$A$1001,customers!$I$1:$I$1001,,0)</f>
        <v>No</v>
      </c>
    </row>
    <row r="117" spans="1:16" x14ac:dyDescent="0.2">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_xlfn.XLOOKUP(Table1[[#This Row],[Customer ID]],customers!$A$1:$A$1001,customers!$I$1:$I$1001,,0)</f>
        <v>No</v>
      </c>
    </row>
    <row r="118" spans="1:16" x14ac:dyDescent="0.2">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_xlfn.XLOOKUP(Table1[[#This Row],[Customer ID]],customers!$A$1:$A$1001,customers!$I$1:$I$1001,,0)</f>
        <v>Yes</v>
      </c>
    </row>
    <row r="119" spans="1:16" x14ac:dyDescent="0.2">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_xlfn.XLOOKUP(Table1[[#This Row],[Customer ID]],customers!$A$1:$A$1001,customers!$I$1:$I$1001,,0)</f>
        <v>No</v>
      </c>
    </row>
    <row r="120" spans="1:16" x14ac:dyDescent="0.2">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_xlfn.XLOOKUP(Table1[[#This Row],[Customer ID]],customers!$A$1:$A$1001,customers!$I$1:$I$1001,,0)</f>
        <v>Yes</v>
      </c>
    </row>
    <row r="121" spans="1:16" x14ac:dyDescent="0.2">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_xlfn.XLOOKUP(Table1[[#This Row],[Customer ID]],customers!$A$1:$A$1001,customers!$I$1:$I$1001,,0)</f>
        <v>No</v>
      </c>
    </row>
    <row r="122" spans="1:16" x14ac:dyDescent="0.2">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_xlfn.XLOOKUP(Table1[[#This Row],[Customer ID]],customers!$A$1:$A$1001,customers!$I$1:$I$1001,,0)</f>
        <v>No</v>
      </c>
    </row>
    <row r="123" spans="1:16" x14ac:dyDescent="0.2">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_xlfn.XLOOKUP(Table1[[#This Row],[Customer ID]],customers!$A$1:$A$1001,customers!$I$1:$I$1001,,0)</f>
        <v>No</v>
      </c>
    </row>
    <row r="124" spans="1:16" x14ac:dyDescent="0.2">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_xlfn.XLOOKUP(Table1[[#This Row],[Customer ID]],customers!$A$1:$A$1001,customers!$I$1:$I$1001,,0)</f>
        <v>Yes</v>
      </c>
    </row>
    <row r="125" spans="1:16" x14ac:dyDescent="0.2">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_xlfn.XLOOKUP(Table1[[#This Row],[Customer ID]],customers!$A$1:$A$1001,customers!$I$1:$I$1001,,0)</f>
        <v>No</v>
      </c>
    </row>
    <row r="126" spans="1:16" x14ac:dyDescent="0.2">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_xlfn.XLOOKUP(Table1[[#This Row],[Customer ID]],customers!$A$1:$A$1001,customers!$I$1:$I$1001,,0)</f>
        <v>Yes</v>
      </c>
    </row>
    <row r="127" spans="1:16" x14ac:dyDescent="0.2">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_xlfn.XLOOKUP(Table1[[#This Row],[Customer ID]],customers!$A$1:$A$1001,customers!$I$1:$I$1001,,0)</f>
        <v>Yes</v>
      </c>
    </row>
    <row r="128" spans="1:16" x14ac:dyDescent="0.2">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_xlfn.XLOOKUP(Table1[[#This Row],[Customer ID]],customers!$A$1:$A$1001,customers!$I$1:$I$1001,,0)</f>
        <v>No</v>
      </c>
    </row>
    <row r="129" spans="1:16" x14ac:dyDescent="0.2">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_xlfn.XLOOKUP(Table1[[#This Row],[Customer ID]],customers!$A$1:$A$1001,customers!$I$1:$I$1001,,0)</f>
        <v>No</v>
      </c>
    </row>
    <row r="130" spans="1:16" x14ac:dyDescent="0.2">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_xlfn.XLOOKUP(Table1[[#This Row],[Customer ID]],customers!$A$1:$A$1001,customers!$I$1:$I$1001,,0)</f>
        <v>No</v>
      </c>
    </row>
    <row r="131" spans="1:16" x14ac:dyDescent="0.2">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 IF(I131="Exc","Excelsa", IF(I131= "Ara", "Arabica", IF(I131= "Lib","Liberica", ""))))</f>
        <v>Excelsa</v>
      </c>
      <c r="O131" t="str">
        <f t="shared" ref="O131:O194" si="8">IF(J131= "M", "Medium",IF(J131= "L","Light", IF(J131= "D", "Dark")))</f>
        <v>Dark</v>
      </c>
      <c r="P131" t="str">
        <f>_xlfn.XLOOKUP(Table1[[#This Row],[Customer ID]],customers!$A$1:$A$1001,customers!$I$1:$I$1001,,0)</f>
        <v>Yes</v>
      </c>
    </row>
    <row r="132" spans="1:16" x14ac:dyDescent="0.2">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_xlfn.XLOOKUP(Table1[[#This Row],[Customer ID]],customers!$A$1:$A$1001,customers!$I$1:$I$1001,,0)</f>
        <v>Yes</v>
      </c>
    </row>
    <row r="133" spans="1:16" x14ac:dyDescent="0.2">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_xlfn.XLOOKUP(Table1[[#This Row],[Customer ID]],customers!$A$1:$A$1001,customers!$I$1:$I$1001,,0)</f>
        <v>Yes</v>
      </c>
    </row>
    <row r="134" spans="1:16" x14ac:dyDescent="0.2">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_xlfn.XLOOKUP(Table1[[#This Row],[Customer ID]],customers!$A$1:$A$1001,customers!$I$1:$I$1001,,0)</f>
        <v>Yes</v>
      </c>
    </row>
    <row r="135" spans="1:16" x14ac:dyDescent="0.2">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_xlfn.XLOOKUP(Table1[[#This Row],[Customer ID]],customers!$A$1:$A$1001,customers!$I$1:$I$1001,,0)</f>
        <v>No</v>
      </c>
    </row>
    <row r="136" spans="1:16" x14ac:dyDescent="0.2">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_xlfn.XLOOKUP(Table1[[#This Row],[Customer ID]],customers!$A$1:$A$1001,customers!$I$1:$I$1001,,0)</f>
        <v>Yes</v>
      </c>
    </row>
    <row r="137" spans="1:16" x14ac:dyDescent="0.2">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_xlfn.XLOOKUP(Table1[[#This Row],[Customer ID]],customers!$A$1:$A$1001,customers!$I$1:$I$1001,,0)</f>
        <v>Yes</v>
      </c>
    </row>
    <row r="138" spans="1:16" x14ac:dyDescent="0.2">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_xlfn.XLOOKUP(Table1[[#This Row],[Customer ID]],customers!$A$1:$A$1001,customers!$I$1:$I$1001,,0)</f>
        <v>No</v>
      </c>
    </row>
    <row r="139" spans="1:16" x14ac:dyDescent="0.2">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_xlfn.XLOOKUP(Table1[[#This Row],[Customer ID]],customers!$A$1:$A$1001,customers!$I$1:$I$1001,,0)</f>
        <v>No</v>
      </c>
    </row>
    <row r="140" spans="1:16" x14ac:dyDescent="0.2">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_xlfn.XLOOKUP(Table1[[#This Row],[Customer ID]],customers!$A$1:$A$1001,customers!$I$1:$I$1001,,0)</f>
        <v>No</v>
      </c>
    </row>
    <row r="141" spans="1:16" x14ac:dyDescent="0.2">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_xlfn.XLOOKUP(Table1[[#This Row],[Customer ID]],customers!$A$1:$A$1001,customers!$I$1:$I$1001,,0)</f>
        <v>Yes</v>
      </c>
    </row>
    <row r="142" spans="1:16" x14ac:dyDescent="0.2">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_xlfn.XLOOKUP(Table1[[#This Row],[Customer ID]],customers!$A$1:$A$1001,customers!$I$1:$I$1001,,0)</f>
        <v>Yes</v>
      </c>
    </row>
    <row r="143" spans="1:16" x14ac:dyDescent="0.2">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_xlfn.XLOOKUP(Table1[[#This Row],[Customer ID]],customers!$A$1:$A$1001,customers!$I$1:$I$1001,,0)</f>
        <v>Yes</v>
      </c>
    </row>
    <row r="144" spans="1:16" x14ac:dyDescent="0.2">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_xlfn.XLOOKUP(Table1[[#This Row],[Customer ID]],customers!$A$1:$A$1001,customers!$I$1:$I$1001,,0)</f>
        <v>Yes</v>
      </c>
    </row>
    <row r="145" spans="1:16" x14ac:dyDescent="0.2">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_xlfn.XLOOKUP(Table1[[#This Row],[Customer ID]],customers!$A$1:$A$1001,customers!$I$1:$I$1001,,0)</f>
        <v>No</v>
      </c>
    </row>
    <row r="146" spans="1:16" x14ac:dyDescent="0.2">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_xlfn.XLOOKUP(Table1[[#This Row],[Customer ID]],customers!$A$1:$A$1001,customers!$I$1:$I$1001,,0)</f>
        <v>Yes</v>
      </c>
    </row>
    <row r="147" spans="1:16" x14ac:dyDescent="0.2">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_xlfn.XLOOKUP(Table1[[#This Row],[Customer ID]],customers!$A$1:$A$1001,customers!$I$1:$I$1001,,0)</f>
        <v>No</v>
      </c>
    </row>
    <row r="148" spans="1:16" x14ac:dyDescent="0.2">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_xlfn.XLOOKUP(Table1[[#This Row],[Customer ID]],customers!$A$1:$A$1001,customers!$I$1:$I$1001,,0)</f>
        <v>No</v>
      </c>
    </row>
    <row r="149" spans="1:16" x14ac:dyDescent="0.2">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_xlfn.XLOOKUP(Table1[[#This Row],[Customer ID]],customers!$A$1:$A$1001,customers!$I$1:$I$1001,,0)</f>
        <v>No</v>
      </c>
    </row>
    <row r="150" spans="1:16" x14ac:dyDescent="0.2">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_xlfn.XLOOKUP(Table1[[#This Row],[Customer ID]],customers!$A$1:$A$1001,customers!$I$1:$I$1001,,0)</f>
        <v>Yes</v>
      </c>
    </row>
    <row r="151" spans="1:16" x14ac:dyDescent="0.2">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_xlfn.XLOOKUP(Table1[[#This Row],[Customer ID]],customers!$A$1:$A$1001,customers!$I$1:$I$1001,,0)</f>
        <v>Yes</v>
      </c>
    </row>
    <row r="152" spans="1:16" x14ac:dyDescent="0.2">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_xlfn.XLOOKUP(Table1[[#This Row],[Customer ID]],customers!$A$1:$A$1001,customers!$I$1:$I$1001,,0)</f>
        <v>Yes</v>
      </c>
    </row>
    <row r="153" spans="1:16" x14ac:dyDescent="0.2">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_xlfn.XLOOKUP(Table1[[#This Row],[Customer ID]],customers!$A$1:$A$1001,customers!$I$1:$I$1001,,0)</f>
        <v>Yes</v>
      </c>
    </row>
    <row r="154" spans="1:16" x14ac:dyDescent="0.2">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_xlfn.XLOOKUP(Table1[[#This Row],[Customer ID]],customers!$A$1:$A$1001,customers!$I$1:$I$1001,,0)</f>
        <v>Yes</v>
      </c>
    </row>
    <row r="155" spans="1:16" x14ac:dyDescent="0.2">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_xlfn.XLOOKUP(Table1[[#This Row],[Customer ID]],customers!$A$1:$A$1001,customers!$I$1:$I$1001,,0)</f>
        <v>No</v>
      </c>
    </row>
    <row r="156" spans="1:16" x14ac:dyDescent="0.2">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_xlfn.XLOOKUP(Table1[[#This Row],[Customer ID]],customers!$A$1:$A$1001,customers!$I$1:$I$1001,,0)</f>
        <v>No</v>
      </c>
    </row>
    <row r="157" spans="1:16" x14ac:dyDescent="0.2">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_xlfn.XLOOKUP(Table1[[#This Row],[Customer ID]],customers!$A$1:$A$1001,customers!$I$1:$I$1001,,0)</f>
        <v>Yes</v>
      </c>
    </row>
    <row r="158" spans="1:16" x14ac:dyDescent="0.2">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_xlfn.XLOOKUP(Table1[[#This Row],[Customer ID]],customers!$A$1:$A$1001,customers!$I$1:$I$1001,,0)</f>
        <v>Yes</v>
      </c>
    </row>
    <row r="159" spans="1:16" x14ac:dyDescent="0.2">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_xlfn.XLOOKUP(Table1[[#This Row],[Customer ID]],customers!$A$1:$A$1001,customers!$I$1:$I$1001,,0)</f>
        <v>No</v>
      </c>
    </row>
    <row r="160" spans="1:16" x14ac:dyDescent="0.2">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_xlfn.XLOOKUP(Table1[[#This Row],[Customer ID]],customers!$A$1:$A$1001,customers!$I$1:$I$1001,,0)</f>
        <v>Yes</v>
      </c>
    </row>
    <row r="161" spans="1:16" x14ac:dyDescent="0.2">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_xlfn.XLOOKUP(Table1[[#This Row],[Customer ID]],customers!$A$1:$A$1001,customers!$I$1:$I$1001,,0)</f>
        <v>No</v>
      </c>
    </row>
    <row r="162" spans="1:16" x14ac:dyDescent="0.2">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_xlfn.XLOOKUP(Table1[[#This Row],[Customer ID]],customers!$A$1:$A$1001,customers!$I$1:$I$1001,,0)</f>
        <v>No</v>
      </c>
    </row>
    <row r="163" spans="1:16" x14ac:dyDescent="0.2">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_xlfn.XLOOKUP(Table1[[#This Row],[Customer ID]],customers!$A$1:$A$1001,customers!$I$1:$I$1001,,0)</f>
        <v>No</v>
      </c>
    </row>
    <row r="164" spans="1:16" x14ac:dyDescent="0.2">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_xlfn.XLOOKUP(Table1[[#This Row],[Customer ID]],customers!$A$1:$A$1001,customers!$I$1:$I$1001,,0)</f>
        <v>Yes</v>
      </c>
    </row>
    <row r="165" spans="1:16" x14ac:dyDescent="0.2">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_xlfn.XLOOKUP(Table1[[#This Row],[Customer ID]],customers!$A$1:$A$1001,customers!$I$1:$I$1001,,0)</f>
        <v>No</v>
      </c>
    </row>
    <row r="166" spans="1:16" x14ac:dyDescent="0.2">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_xlfn.XLOOKUP(Table1[[#This Row],[Customer ID]],customers!$A$1:$A$1001,customers!$I$1:$I$1001,,0)</f>
        <v>No</v>
      </c>
    </row>
    <row r="167" spans="1:16" x14ac:dyDescent="0.2">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_xlfn.XLOOKUP(Table1[[#This Row],[Customer ID]],customers!$A$1:$A$1001,customers!$I$1:$I$1001,,0)</f>
        <v>Yes</v>
      </c>
    </row>
    <row r="168" spans="1:16" x14ac:dyDescent="0.2">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_xlfn.XLOOKUP(Table1[[#This Row],[Customer ID]],customers!$A$1:$A$1001,customers!$I$1:$I$1001,,0)</f>
        <v>Yes</v>
      </c>
    </row>
    <row r="169" spans="1:16" x14ac:dyDescent="0.2">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_xlfn.XLOOKUP(Table1[[#This Row],[Customer ID]],customers!$A$1:$A$1001,customers!$I$1:$I$1001,,0)</f>
        <v>Yes</v>
      </c>
    </row>
    <row r="170" spans="1:16" x14ac:dyDescent="0.2">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_xlfn.XLOOKUP(Table1[[#This Row],[Customer ID]],customers!$A$1:$A$1001,customers!$I$1:$I$1001,,0)</f>
        <v>No</v>
      </c>
    </row>
    <row r="171" spans="1:16" x14ac:dyDescent="0.2">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_xlfn.XLOOKUP(Table1[[#This Row],[Customer ID]],customers!$A$1:$A$1001,customers!$I$1:$I$1001,,0)</f>
        <v>No</v>
      </c>
    </row>
    <row r="172" spans="1:16" x14ac:dyDescent="0.2">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_xlfn.XLOOKUP(Table1[[#This Row],[Customer ID]],customers!$A$1:$A$1001,customers!$I$1:$I$1001,,0)</f>
        <v>No</v>
      </c>
    </row>
    <row r="173" spans="1:16" x14ac:dyDescent="0.2">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_xlfn.XLOOKUP(Table1[[#This Row],[Customer ID]],customers!$A$1:$A$1001,customers!$I$1:$I$1001,,0)</f>
        <v>Yes</v>
      </c>
    </row>
    <row r="174" spans="1:16" x14ac:dyDescent="0.2">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_xlfn.XLOOKUP(Table1[[#This Row],[Customer ID]],customers!$A$1:$A$1001,customers!$I$1:$I$1001,,0)</f>
        <v>No</v>
      </c>
    </row>
    <row r="175" spans="1:16" x14ac:dyDescent="0.2">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_xlfn.XLOOKUP(Table1[[#This Row],[Customer ID]],customers!$A$1:$A$1001,customers!$I$1:$I$1001,,0)</f>
        <v>No</v>
      </c>
    </row>
    <row r="176" spans="1:16" x14ac:dyDescent="0.2">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_xlfn.XLOOKUP(Table1[[#This Row],[Customer ID]],customers!$A$1:$A$1001,customers!$I$1:$I$1001,,0)</f>
        <v>Yes</v>
      </c>
    </row>
    <row r="177" spans="1:16" x14ac:dyDescent="0.2">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_xlfn.XLOOKUP(Table1[[#This Row],[Customer ID]],customers!$A$1:$A$1001,customers!$I$1:$I$1001,,0)</f>
        <v>Yes</v>
      </c>
    </row>
    <row r="178" spans="1:16" x14ac:dyDescent="0.2">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_xlfn.XLOOKUP(Table1[[#This Row],[Customer ID]],customers!$A$1:$A$1001,customers!$I$1:$I$1001,,0)</f>
        <v>Yes</v>
      </c>
    </row>
    <row r="179" spans="1:16" x14ac:dyDescent="0.2">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_xlfn.XLOOKUP(Table1[[#This Row],[Customer ID]],customers!$A$1:$A$1001,customers!$I$1:$I$1001,,0)</f>
        <v>Yes</v>
      </c>
    </row>
    <row r="180" spans="1:16" x14ac:dyDescent="0.2">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_xlfn.XLOOKUP(Table1[[#This Row],[Customer ID]],customers!$A$1:$A$1001,customers!$I$1:$I$1001,,0)</f>
        <v>No</v>
      </c>
    </row>
    <row r="181" spans="1:16" x14ac:dyDescent="0.2">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_xlfn.XLOOKUP(Table1[[#This Row],[Customer ID]],customers!$A$1:$A$1001,customers!$I$1:$I$1001,,0)</f>
        <v>No</v>
      </c>
    </row>
    <row r="182" spans="1:16" x14ac:dyDescent="0.2">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_xlfn.XLOOKUP(Table1[[#This Row],[Customer ID]],customers!$A$1:$A$1001,customers!$I$1:$I$1001,,0)</f>
        <v>No</v>
      </c>
    </row>
    <row r="183" spans="1:16" x14ac:dyDescent="0.2">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_xlfn.XLOOKUP(Table1[[#This Row],[Customer ID]],customers!$A$1:$A$1001,customers!$I$1:$I$1001,,0)</f>
        <v>No</v>
      </c>
    </row>
    <row r="184" spans="1:16" x14ac:dyDescent="0.2">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_xlfn.XLOOKUP(Table1[[#This Row],[Customer ID]],customers!$A$1:$A$1001,customers!$I$1:$I$1001,,0)</f>
        <v>No</v>
      </c>
    </row>
    <row r="185" spans="1:16" x14ac:dyDescent="0.2">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_xlfn.XLOOKUP(Table1[[#This Row],[Customer ID]],customers!$A$1:$A$1001,customers!$I$1:$I$1001,,0)</f>
        <v>No</v>
      </c>
    </row>
    <row r="186" spans="1:16" x14ac:dyDescent="0.2">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_xlfn.XLOOKUP(Table1[[#This Row],[Customer ID]],customers!$A$1:$A$1001,customers!$I$1:$I$1001,,0)</f>
        <v>No</v>
      </c>
    </row>
    <row r="187" spans="1:16" x14ac:dyDescent="0.2">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_xlfn.XLOOKUP(Table1[[#This Row],[Customer ID]],customers!$A$1:$A$1001,customers!$I$1:$I$1001,,0)</f>
        <v>Yes</v>
      </c>
    </row>
    <row r="188" spans="1:16" x14ac:dyDescent="0.2">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_xlfn.XLOOKUP(Table1[[#This Row],[Customer ID]],customers!$A$1:$A$1001,customers!$I$1:$I$1001,,0)</f>
        <v>No</v>
      </c>
    </row>
    <row r="189" spans="1:16" x14ac:dyDescent="0.2">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_xlfn.XLOOKUP(Table1[[#This Row],[Customer ID]],customers!$A$1:$A$1001,customers!$I$1:$I$1001,,0)</f>
        <v>Yes</v>
      </c>
    </row>
    <row r="190" spans="1:16" x14ac:dyDescent="0.2">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_xlfn.XLOOKUP(Table1[[#This Row],[Customer ID]],customers!$A$1:$A$1001,customers!$I$1:$I$1001,,0)</f>
        <v>Yes</v>
      </c>
    </row>
    <row r="191" spans="1:16" x14ac:dyDescent="0.2">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_xlfn.XLOOKUP(Table1[[#This Row],[Customer ID]],customers!$A$1:$A$1001,customers!$I$1:$I$1001,,0)</f>
        <v>Yes</v>
      </c>
    </row>
    <row r="192" spans="1:16" x14ac:dyDescent="0.2">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_xlfn.XLOOKUP(Table1[[#This Row],[Customer ID]],customers!$A$1:$A$1001,customers!$I$1:$I$1001,,0)</f>
        <v>Yes</v>
      </c>
    </row>
    <row r="193" spans="1:16" x14ac:dyDescent="0.2">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_xlfn.XLOOKUP(Table1[[#This Row],[Customer ID]],customers!$A$1:$A$1001,customers!$I$1:$I$1001,,0)</f>
        <v>Yes</v>
      </c>
    </row>
    <row r="194" spans="1:16" x14ac:dyDescent="0.2">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_xlfn.XLOOKUP(Table1[[#This Row],[Customer ID]],customers!$A$1:$A$1001,customers!$I$1:$I$1001,,0)</f>
        <v>Yes</v>
      </c>
    </row>
    <row r="195" spans="1:16" x14ac:dyDescent="0.2">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 IF(I195="Exc","Excelsa", IF(I195= "Ara", "Arabica", IF(I195= "Lib","Liberica", ""))))</f>
        <v>Excelsa</v>
      </c>
      <c r="O195" t="str">
        <f t="shared" ref="O195:O258" si="11">IF(J195= "M", "Medium",IF(J195= "L","Light", IF(J195= "D", "Dark")))</f>
        <v>Light</v>
      </c>
      <c r="P195" t="str">
        <f>_xlfn.XLOOKUP(Table1[[#This Row],[Customer ID]],customers!$A$1:$A$1001,customers!$I$1:$I$1001,,0)</f>
        <v>No</v>
      </c>
    </row>
    <row r="196" spans="1:16" x14ac:dyDescent="0.2">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_xlfn.XLOOKUP(Table1[[#This Row],[Customer ID]],customers!$A$1:$A$1001,customers!$I$1:$I$1001,,0)</f>
        <v>No</v>
      </c>
    </row>
    <row r="197" spans="1:16" x14ac:dyDescent="0.2">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_xlfn.XLOOKUP(Table1[[#This Row],[Customer ID]],customers!$A$1:$A$1001,customers!$I$1:$I$1001,,0)</f>
        <v>No</v>
      </c>
    </row>
    <row r="198" spans="1:16" x14ac:dyDescent="0.2">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_xlfn.XLOOKUP(Table1[[#This Row],[Customer ID]],customers!$A$1:$A$1001,customers!$I$1:$I$1001,,0)</f>
        <v>No</v>
      </c>
    </row>
    <row r="199" spans="1:16" x14ac:dyDescent="0.2">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_xlfn.XLOOKUP(Table1[[#This Row],[Customer ID]],customers!$A$1:$A$1001,customers!$I$1:$I$1001,,0)</f>
        <v>No</v>
      </c>
    </row>
    <row r="200" spans="1:16" x14ac:dyDescent="0.2">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_xlfn.XLOOKUP(Table1[[#This Row],[Customer ID]],customers!$A$1:$A$1001,customers!$I$1:$I$1001,,0)</f>
        <v>No</v>
      </c>
    </row>
    <row r="201" spans="1:16" x14ac:dyDescent="0.2">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_xlfn.XLOOKUP(Table1[[#This Row],[Customer ID]],customers!$A$1:$A$1001,customers!$I$1:$I$1001,,0)</f>
        <v>No</v>
      </c>
    </row>
    <row r="202" spans="1:16" x14ac:dyDescent="0.2">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_xlfn.XLOOKUP(Table1[[#This Row],[Customer ID]],customers!$A$1:$A$1001,customers!$I$1:$I$1001,,0)</f>
        <v>No</v>
      </c>
    </row>
    <row r="203" spans="1:16" x14ac:dyDescent="0.2">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_xlfn.XLOOKUP(Table1[[#This Row],[Customer ID]],customers!$A$1:$A$1001,customers!$I$1:$I$1001,,0)</f>
        <v>No</v>
      </c>
    </row>
    <row r="204" spans="1:16" x14ac:dyDescent="0.2">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_xlfn.XLOOKUP(Table1[[#This Row],[Customer ID]],customers!$A$1:$A$1001,customers!$I$1:$I$1001,,0)</f>
        <v>Yes</v>
      </c>
    </row>
    <row r="205" spans="1:16" x14ac:dyDescent="0.2">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_xlfn.XLOOKUP(Table1[[#This Row],[Customer ID]],customers!$A$1:$A$1001,customers!$I$1:$I$1001,,0)</f>
        <v>No</v>
      </c>
    </row>
    <row r="206" spans="1:16" x14ac:dyDescent="0.2">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_xlfn.XLOOKUP(Table1[[#This Row],[Customer ID]],customers!$A$1:$A$1001,customers!$I$1:$I$1001,,0)</f>
        <v>No</v>
      </c>
    </row>
    <row r="207" spans="1:16" x14ac:dyDescent="0.2">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_xlfn.XLOOKUP(Table1[[#This Row],[Customer ID]],customers!$A$1:$A$1001,customers!$I$1:$I$1001,,0)</f>
        <v>Yes</v>
      </c>
    </row>
    <row r="208" spans="1:16" x14ac:dyDescent="0.2">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_xlfn.XLOOKUP(Table1[[#This Row],[Customer ID]],customers!$A$1:$A$1001,customers!$I$1:$I$1001,,0)</f>
        <v>No</v>
      </c>
    </row>
    <row r="209" spans="1:16" x14ac:dyDescent="0.2">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_xlfn.XLOOKUP(Table1[[#This Row],[Customer ID]],customers!$A$1:$A$1001,customers!$I$1:$I$1001,,0)</f>
        <v>Yes</v>
      </c>
    </row>
    <row r="210" spans="1:16" x14ac:dyDescent="0.2">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_xlfn.XLOOKUP(Table1[[#This Row],[Customer ID]],customers!$A$1:$A$1001,customers!$I$1:$I$1001,,0)</f>
        <v>Yes</v>
      </c>
    </row>
    <row r="211" spans="1:16" x14ac:dyDescent="0.2">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_xlfn.XLOOKUP(Table1[[#This Row],[Customer ID]],customers!$A$1:$A$1001,customers!$I$1:$I$1001,,0)</f>
        <v>No</v>
      </c>
    </row>
    <row r="212" spans="1:16" x14ac:dyDescent="0.2">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_xlfn.XLOOKUP(Table1[[#This Row],[Customer ID]],customers!$A$1:$A$1001,customers!$I$1:$I$1001,,0)</f>
        <v>Yes</v>
      </c>
    </row>
    <row r="213" spans="1:16" x14ac:dyDescent="0.2">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_xlfn.XLOOKUP(Table1[[#This Row],[Customer ID]],customers!$A$1:$A$1001,customers!$I$1:$I$1001,,0)</f>
        <v>No</v>
      </c>
    </row>
    <row r="214" spans="1:16" x14ac:dyDescent="0.2">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_xlfn.XLOOKUP(Table1[[#This Row],[Customer ID]],customers!$A$1:$A$1001,customers!$I$1:$I$1001,,0)</f>
        <v>Yes</v>
      </c>
    </row>
    <row r="215" spans="1:16" x14ac:dyDescent="0.2">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_xlfn.XLOOKUP(Table1[[#This Row],[Customer ID]],customers!$A$1:$A$1001,customers!$I$1:$I$1001,,0)</f>
        <v>No</v>
      </c>
    </row>
    <row r="216" spans="1:16" x14ac:dyDescent="0.2">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_xlfn.XLOOKUP(Table1[[#This Row],[Customer ID]],customers!$A$1:$A$1001,customers!$I$1:$I$1001,,0)</f>
        <v>No</v>
      </c>
    </row>
    <row r="217" spans="1:16" x14ac:dyDescent="0.2">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_xlfn.XLOOKUP(Table1[[#This Row],[Customer ID]],customers!$A$1:$A$1001,customers!$I$1:$I$1001,,0)</f>
        <v>No</v>
      </c>
    </row>
    <row r="218" spans="1:16" x14ac:dyDescent="0.2">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_xlfn.XLOOKUP(Table1[[#This Row],[Customer ID]],customers!$A$1:$A$1001,customers!$I$1:$I$1001,,0)</f>
        <v>Yes</v>
      </c>
    </row>
    <row r="219" spans="1:16" x14ac:dyDescent="0.2">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_xlfn.XLOOKUP(Table1[[#This Row],[Customer ID]],customers!$A$1:$A$1001,customers!$I$1:$I$1001,,0)</f>
        <v>No</v>
      </c>
    </row>
    <row r="220" spans="1:16" x14ac:dyDescent="0.2">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_xlfn.XLOOKUP(Table1[[#This Row],[Customer ID]],customers!$A$1:$A$1001,customers!$I$1:$I$1001,,0)</f>
        <v>Yes</v>
      </c>
    </row>
    <row r="221" spans="1:16" x14ac:dyDescent="0.2">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_xlfn.XLOOKUP(Table1[[#This Row],[Customer ID]],customers!$A$1:$A$1001,customers!$I$1:$I$1001,,0)</f>
        <v>No</v>
      </c>
    </row>
    <row r="222" spans="1:16" x14ac:dyDescent="0.2">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_xlfn.XLOOKUP(Table1[[#This Row],[Customer ID]],customers!$A$1:$A$1001,customers!$I$1:$I$1001,,0)</f>
        <v>No</v>
      </c>
    </row>
    <row r="223" spans="1:16" x14ac:dyDescent="0.2">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_xlfn.XLOOKUP(Table1[[#This Row],[Customer ID]],customers!$A$1:$A$1001,customers!$I$1:$I$1001,,0)</f>
        <v>Yes</v>
      </c>
    </row>
    <row r="224" spans="1:16" x14ac:dyDescent="0.2">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_xlfn.XLOOKUP(Table1[[#This Row],[Customer ID]],customers!$A$1:$A$1001,customers!$I$1:$I$1001,,0)</f>
        <v>No</v>
      </c>
    </row>
    <row r="225" spans="1:16" x14ac:dyDescent="0.2">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_xlfn.XLOOKUP(Table1[[#This Row],[Customer ID]],customers!$A$1:$A$1001,customers!$I$1:$I$1001,,0)</f>
        <v>Yes</v>
      </c>
    </row>
    <row r="226" spans="1:16" x14ac:dyDescent="0.2">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_xlfn.XLOOKUP(Table1[[#This Row],[Customer ID]],customers!$A$1:$A$1001,customers!$I$1:$I$1001,,0)</f>
        <v>Yes</v>
      </c>
    </row>
    <row r="227" spans="1:16" x14ac:dyDescent="0.2">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_xlfn.XLOOKUP(Table1[[#This Row],[Customer ID]],customers!$A$1:$A$1001,customers!$I$1:$I$1001,,0)</f>
        <v>No</v>
      </c>
    </row>
    <row r="228" spans="1:16" x14ac:dyDescent="0.2">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_xlfn.XLOOKUP(Table1[[#This Row],[Customer ID]],customers!$A$1:$A$1001,customers!$I$1:$I$1001,,0)</f>
        <v>No</v>
      </c>
    </row>
    <row r="229" spans="1:16" x14ac:dyDescent="0.2">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_xlfn.XLOOKUP(Table1[[#This Row],[Customer ID]],customers!$A$1:$A$1001,customers!$I$1:$I$1001,,0)</f>
        <v>Yes</v>
      </c>
    </row>
    <row r="230" spans="1:16" x14ac:dyDescent="0.2">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_xlfn.XLOOKUP(Table1[[#This Row],[Customer ID]],customers!$A$1:$A$1001,customers!$I$1:$I$1001,,0)</f>
        <v>No</v>
      </c>
    </row>
    <row r="231" spans="1:16" x14ac:dyDescent="0.2">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_xlfn.XLOOKUP(Table1[[#This Row],[Customer ID]],customers!$A$1:$A$1001,customers!$I$1:$I$1001,,0)</f>
        <v>No</v>
      </c>
    </row>
    <row r="232" spans="1:16" x14ac:dyDescent="0.2">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_xlfn.XLOOKUP(Table1[[#This Row],[Customer ID]],customers!$A$1:$A$1001,customers!$I$1:$I$1001,,0)</f>
        <v>No</v>
      </c>
    </row>
    <row r="233" spans="1:16" x14ac:dyDescent="0.2">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_xlfn.XLOOKUP(Table1[[#This Row],[Customer ID]],customers!$A$1:$A$1001,customers!$I$1:$I$1001,,0)</f>
        <v>Yes</v>
      </c>
    </row>
    <row r="234" spans="1:16" x14ac:dyDescent="0.2">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_xlfn.XLOOKUP(Table1[[#This Row],[Customer ID]],customers!$A$1:$A$1001,customers!$I$1:$I$1001,,0)</f>
        <v>No</v>
      </c>
    </row>
    <row r="235" spans="1:16" x14ac:dyDescent="0.2">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_xlfn.XLOOKUP(Table1[[#This Row],[Customer ID]],customers!$A$1:$A$1001,customers!$I$1:$I$1001,,0)</f>
        <v>No</v>
      </c>
    </row>
    <row r="236" spans="1:16" x14ac:dyDescent="0.2">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_xlfn.XLOOKUP(Table1[[#This Row],[Customer ID]],customers!$A$1:$A$1001,customers!$I$1:$I$1001,,0)</f>
        <v>No</v>
      </c>
    </row>
    <row r="237" spans="1:16" x14ac:dyDescent="0.2">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_xlfn.XLOOKUP(Table1[[#This Row],[Customer ID]],customers!$A$1:$A$1001,customers!$I$1:$I$1001,,0)</f>
        <v>No</v>
      </c>
    </row>
    <row r="238" spans="1:16" x14ac:dyDescent="0.2">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_xlfn.XLOOKUP(Table1[[#This Row],[Customer ID]],customers!$A$1:$A$1001,customers!$I$1:$I$1001,,0)</f>
        <v>No</v>
      </c>
    </row>
    <row r="239" spans="1:16" x14ac:dyDescent="0.2">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_xlfn.XLOOKUP(Table1[[#This Row],[Customer ID]],customers!$A$1:$A$1001,customers!$I$1:$I$1001,,0)</f>
        <v>Yes</v>
      </c>
    </row>
    <row r="240" spans="1:16" x14ac:dyDescent="0.2">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_xlfn.XLOOKUP(Table1[[#This Row],[Customer ID]],customers!$A$1:$A$1001,customers!$I$1:$I$1001,,0)</f>
        <v>Yes</v>
      </c>
    </row>
    <row r="241" spans="1:16" x14ac:dyDescent="0.2">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_xlfn.XLOOKUP(Table1[[#This Row],[Customer ID]],customers!$A$1:$A$1001,customers!$I$1:$I$1001,,0)</f>
        <v>No</v>
      </c>
    </row>
    <row r="242" spans="1:16" x14ac:dyDescent="0.2">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_xlfn.XLOOKUP(Table1[[#This Row],[Customer ID]],customers!$A$1:$A$1001,customers!$I$1:$I$1001,,0)</f>
        <v>Yes</v>
      </c>
    </row>
    <row r="243" spans="1:16" x14ac:dyDescent="0.2">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_xlfn.XLOOKUP(Table1[[#This Row],[Customer ID]],customers!$A$1:$A$1001,customers!$I$1:$I$1001,,0)</f>
        <v>No</v>
      </c>
    </row>
    <row r="244" spans="1:16" x14ac:dyDescent="0.2">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_xlfn.XLOOKUP(Table1[[#This Row],[Customer ID]],customers!$A$1:$A$1001,customers!$I$1:$I$1001,,0)</f>
        <v>Yes</v>
      </c>
    </row>
    <row r="245" spans="1:16" x14ac:dyDescent="0.2">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_xlfn.XLOOKUP(Table1[[#This Row],[Customer ID]],customers!$A$1:$A$1001,customers!$I$1:$I$1001,,0)</f>
        <v>Yes</v>
      </c>
    </row>
    <row r="246" spans="1:16" x14ac:dyDescent="0.2">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_xlfn.XLOOKUP(Table1[[#This Row],[Customer ID]],customers!$A$1:$A$1001,customers!$I$1:$I$1001,,0)</f>
        <v>No</v>
      </c>
    </row>
    <row r="247" spans="1:16" x14ac:dyDescent="0.2">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_xlfn.XLOOKUP(Table1[[#This Row],[Customer ID]],customers!$A$1:$A$1001,customers!$I$1:$I$1001,,0)</f>
        <v>Yes</v>
      </c>
    </row>
    <row r="248" spans="1:16" x14ac:dyDescent="0.2">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_xlfn.XLOOKUP(Table1[[#This Row],[Customer ID]],customers!$A$1:$A$1001,customers!$I$1:$I$1001,,0)</f>
        <v>No</v>
      </c>
    </row>
    <row r="249" spans="1:16" x14ac:dyDescent="0.2">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_xlfn.XLOOKUP(Table1[[#This Row],[Customer ID]],customers!$A$1:$A$1001,customers!$I$1:$I$1001,,0)</f>
        <v>Yes</v>
      </c>
    </row>
    <row r="250" spans="1:16" x14ac:dyDescent="0.2">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_xlfn.XLOOKUP(Table1[[#This Row],[Customer ID]],customers!$A$1:$A$1001,customers!$I$1:$I$1001,,0)</f>
        <v>Yes</v>
      </c>
    </row>
    <row r="251" spans="1:16" x14ac:dyDescent="0.2">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_xlfn.XLOOKUP(Table1[[#This Row],[Customer ID]],customers!$A$1:$A$1001,customers!$I$1:$I$1001,,0)</f>
        <v>Yes</v>
      </c>
    </row>
    <row r="252" spans="1:16" x14ac:dyDescent="0.2">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_xlfn.XLOOKUP(Table1[[#This Row],[Customer ID]],customers!$A$1:$A$1001,customers!$I$1:$I$1001,,0)</f>
        <v>Yes</v>
      </c>
    </row>
    <row r="253" spans="1:16" x14ac:dyDescent="0.2">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_xlfn.XLOOKUP(Table1[[#This Row],[Customer ID]],customers!$A$1:$A$1001,customers!$I$1:$I$1001,,0)</f>
        <v>Yes</v>
      </c>
    </row>
    <row r="254" spans="1:16" x14ac:dyDescent="0.2">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_xlfn.XLOOKUP(Table1[[#This Row],[Customer ID]],customers!$A$1:$A$1001,customers!$I$1:$I$1001,,0)</f>
        <v>No</v>
      </c>
    </row>
    <row r="255" spans="1:16" x14ac:dyDescent="0.2">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_xlfn.XLOOKUP(Table1[[#This Row],[Customer ID]],customers!$A$1:$A$1001,customers!$I$1:$I$1001,,0)</f>
        <v>No</v>
      </c>
    </row>
    <row r="256" spans="1:16" x14ac:dyDescent="0.2">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_xlfn.XLOOKUP(Table1[[#This Row],[Customer ID]],customers!$A$1:$A$1001,customers!$I$1:$I$1001,,0)</f>
        <v>No</v>
      </c>
    </row>
    <row r="257" spans="1:16" x14ac:dyDescent="0.2">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_xlfn.XLOOKUP(Table1[[#This Row],[Customer ID]],customers!$A$1:$A$1001,customers!$I$1:$I$1001,,0)</f>
        <v>No</v>
      </c>
    </row>
    <row r="258" spans="1:16" x14ac:dyDescent="0.2">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_xlfn.XLOOKUP(Table1[[#This Row],[Customer ID]],customers!$A$1:$A$1001,customers!$I$1:$I$1001,,0)</f>
        <v>Yes</v>
      </c>
    </row>
    <row r="259" spans="1:16" x14ac:dyDescent="0.2">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 IF(I259="Exc","Excelsa", IF(I259= "Ara", "Arabica", IF(I259= "Lib","Liberica", ""))))</f>
        <v>Excelsa</v>
      </c>
      <c r="O259" t="str">
        <f t="shared" ref="O259:O322" si="14">IF(J259= "M", "Medium",IF(J259= "L","Light", IF(J259= "D", "Dark")))</f>
        <v>Dark</v>
      </c>
      <c r="P259" t="str">
        <f>_xlfn.XLOOKUP(Table1[[#This Row],[Customer ID]],customers!$A$1:$A$1001,customers!$I$1:$I$1001,,0)</f>
        <v>Yes</v>
      </c>
    </row>
    <row r="260" spans="1:16" x14ac:dyDescent="0.2">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_xlfn.XLOOKUP(Table1[[#This Row],[Customer ID]],customers!$A$1:$A$1001,customers!$I$1:$I$1001,,0)</f>
        <v>No</v>
      </c>
    </row>
    <row r="261" spans="1:16" x14ac:dyDescent="0.2">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_xlfn.XLOOKUP(Table1[[#This Row],[Customer ID]],customers!$A$1:$A$1001,customers!$I$1:$I$1001,,0)</f>
        <v>No</v>
      </c>
    </row>
    <row r="262" spans="1:16" x14ac:dyDescent="0.2">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_xlfn.XLOOKUP(Table1[[#This Row],[Customer ID]],customers!$A$1:$A$1001,customers!$I$1:$I$1001,,0)</f>
        <v>Yes</v>
      </c>
    </row>
    <row r="263" spans="1:16" x14ac:dyDescent="0.2">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_xlfn.XLOOKUP(Table1[[#This Row],[Customer ID]],customers!$A$1:$A$1001,customers!$I$1:$I$1001,,0)</f>
        <v>Yes</v>
      </c>
    </row>
    <row r="264" spans="1:16" x14ac:dyDescent="0.2">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_xlfn.XLOOKUP(Table1[[#This Row],[Customer ID]],customers!$A$1:$A$1001,customers!$I$1:$I$1001,,0)</f>
        <v>No</v>
      </c>
    </row>
    <row r="265" spans="1:16" x14ac:dyDescent="0.2">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_xlfn.XLOOKUP(Table1[[#This Row],[Customer ID]],customers!$A$1:$A$1001,customers!$I$1:$I$1001,,0)</f>
        <v>No</v>
      </c>
    </row>
    <row r="266" spans="1:16" x14ac:dyDescent="0.2">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_xlfn.XLOOKUP(Table1[[#This Row],[Customer ID]],customers!$A$1:$A$1001,customers!$I$1:$I$1001,,0)</f>
        <v>Yes</v>
      </c>
    </row>
    <row r="267" spans="1:16" x14ac:dyDescent="0.2">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_xlfn.XLOOKUP(Table1[[#This Row],[Customer ID]],customers!$A$1:$A$1001,customers!$I$1:$I$1001,,0)</f>
        <v>Yes</v>
      </c>
    </row>
    <row r="268" spans="1:16" x14ac:dyDescent="0.2">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_xlfn.XLOOKUP(Table1[[#This Row],[Customer ID]],customers!$A$1:$A$1001,customers!$I$1:$I$1001,,0)</f>
        <v>No</v>
      </c>
    </row>
    <row r="269" spans="1:16" x14ac:dyDescent="0.2">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_xlfn.XLOOKUP(Table1[[#This Row],[Customer ID]],customers!$A$1:$A$1001,customers!$I$1:$I$1001,,0)</f>
        <v>Yes</v>
      </c>
    </row>
    <row r="270" spans="1:16" x14ac:dyDescent="0.2">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_xlfn.XLOOKUP(Table1[[#This Row],[Customer ID]],customers!$A$1:$A$1001,customers!$I$1:$I$1001,,0)</f>
        <v>Yes</v>
      </c>
    </row>
    <row r="271" spans="1:16" x14ac:dyDescent="0.2">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_xlfn.XLOOKUP(Table1[[#This Row],[Customer ID]],customers!$A$1:$A$1001,customers!$I$1:$I$1001,,0)</f>
        <v>No</v>
      </c>
    </row>
    <row r="272" spans="1:16" x14ac:dyDescent="0.2">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_xlfn.XLOOKUP(Table1[[#This Row],[Customer ID]],customers!$A$1:$A$1001,customers!$I$1:$I$1001,,0)</f>
        <v>Yes</v>
      </c>
    </row>
    <row r="273" spans="1:16" x14ac:dyDescent="0.2">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_xlfn.XLOOKUP(Table1[[#This Row],[Customer ID]],customers!$A$1:$A$1001,customers!$I$1:$I$1001,,0)</f>
        <v>Yes</v>
      </c>
    </row>
    <row r="274" spans="1:16" x14ac:dyDescent="0.2">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_xlfn.XLOOKUP(Table1[[#This Row],[Customer ID]],customers!$A$1:$A$1001,customers!$I$1:$I$1001,,0)</f>
        <v>Yes</v>
      </c>
    </row>
    <row r="275" spans="1:16" x14ac:dyDescent="0.2">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_xlfn.XLOOKUP(Table1[[#This Row],[Customer ID]],customers!$A$1:$A$1001,customers!$I$1:$I$1001,,0)</f>
        <v>No</v>
      </c>
    </row>
    <row r="276" spans="1:16" x14ac:dyDescent="0.2">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_xlfn.XLOOKUP(Table1[[#This Row],[Customer ID]],customers!$A$1:$A$1001,customers!$I$1:$I$1001,,0)</f>
        <v>No</v>
      </c>
    </row>
    <row r="277" spans="1:16" x14ac:dyDescent="0.2">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_xlfn.XLOOKUP(Table1[[#This Row],[Customer ID]],customers!$A$1:$A$1001,customers!$I$1:$I$1001,,0)</f>
        <v>No</v>
      </c>
    </row>
    <row r="278" spans="1:16" x14ac:dyDescent="0.2">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_xlfn.XLOOKUP(Table1[[#This Row],[Customer ID]],customers!$A$1:$A$1001,customers!$I$1:$I$1001,,0)</f>
        <v>Yes</v>
      </c>
    </row>
    <row r="279" spans="1:16" x14ac:dyDescent="0.2">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_xlfn.XLOOKUP(Table1[[#This Row],[Customer ID]],customers!$A$1:$A$1001,customers!$I$1:$I$1001,,0)</f>
        <v>No</v>
      </c>
    </row>
    <row r="280" spans="1:16" x14ac:dyDescent="0.2">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_xlfn.XLOOKUP(Table1[[#This Row],[Customer ID]],customers!$A$1:$A$1001,customers!$I$1:$I$1001,,0)</f>
        <v>Yes</v>
      </c>
    </row>
    <row r="281" spans="1:16" x14ac:dyDescent="0.2">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_xlfn.XLOOKUP(Table1[[#This Row],[Customer ID]],customers!$A$1:$A$1001,customers!$I$1:$I$1001,,0)</f>
        <v>Yes</v>
      </c>
    </row>
    <row r="282" spans="1:16" x14ac:dyDescent="0.2">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_xlfn.XLOOKUP(Table1[[#This Row],[Customer ID]],customers!$A$1:$A$1001,customers!$I$1:$I$1001,,0)</f>
        <v>Yes</v>
      </c>
    </row>
    <row r="283" spans="1:16" x14ac:dyDescent="0.2">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_xlfn.XLOOKUP(Table1[[#This Row],[Customer ID]],customers!$A$1:$A$1001,customers!$I$1:$I$1001,,0)</f>
        <v>Yes</v>
      </c>
    </row>
    <row r="284" spans="1:16" x14ac:dyDescent="0.2">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_xlfn.XLOOKUP(Table1[[#This Row],[Customer ID]],customers!$A$1:$A$1001,customers!$I$1:$I$1001,,0)</f>
        <v>No</v>
      </c>
    </row>
    <row r="285" spans="1:16" x14ac:dyDescent="0.2">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_xlfn.XLOOKUP(Table1[[#This Row],[Customer ID]],customers!$A$1:$A$1001,customers!$I$1:$I$1001,,0)</f>
        <v>Yes</v>
      </c>
    </row>
    <row r="286" spans="1:16" x14ac:dyDescent="0.2">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_xlfn.XLOOKUP(Table1[[#This Row],[Customer ID]],customers!$A$1:$A$1001,customers!$I$1:$I$1001,,0)</f>
        <v>No</v>
      </c>
    </row>
    <row r="287" spans="1:16" x14ac:dyDescent="0.2">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_xlfn.XLOOKUP(Table1[[#This Row],[Customer ID]],customers!$A$1:$A$1001,customers!$I$1:$I$1001,,0)</f>
        <v>No</v>
      </c>
    </row>
    <row r="288" spans="1:16" x14ac:dyDescent="0.2">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_xlfn.XLOOKUP(Table1[[#This Row],[Customer ID]],customers!$A$1:$A$1001,customers!$I$1:$I$1001,,0)</f>
        <v>Yes</v>
      </c>
    </row>
    <row r="289" spans="1:16" x14ac:dyDescent="0.2">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_xlfn.XLOOKUP(Table1[[#This Row],[Customer ID]],customers!$A$1:$A$1001,customers!$I$1:$I$1001,,0)</f>
        <v>No</v>
      </c>
    </row>
    <row r="290" spans="1:16" x14ac:dyDescent="0.2">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_xlfn.XLOOKUP(Table1[[#This Row],[Customer ID]],customers!$A$1:$A$1001,customers!$I$1:$I$1001,,0)</f>
        <v>Yes</v>
      </c>
    </row>
    <row r="291" spans="1:16" x14ac:dyDescent="0.2">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_xlfn.XLOOKUP(Table1[[#This Row],[Customer ID]],customers!$A$1:$A$1001,customers!$I$1:$I$1001,,0)</f>
        <v>Yes</v>
      </c>
    </row>
    <row r="292" spans="1:16" x14ac:dyDescent="0.2">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_xlfn.XLOOKUP(Table1[[#This Row],[Customer ID]],customers!$A$1:$A$1001,customers!$I$1:$I$1001,,0)</f>
        <v>No</v>
      </c>
    </row>
    <row r="293" spans="1:16" x14ac:dyDescent="0.2">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_xlfn.XLOOKUP(Table1[[#This Row],[Customer ID]],customers!$A$1:$A$1001,customers!$I$1:$I$1001,,0)</f>
        <v>No</v>
      </c>
    </row>
    <row r="294" spans="1:16" x14ac:dyDescent="0.2">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_xlfn.XLOOKUP(Table1[[#This Row],[Customer ID]],customers!$A$1:$A$1001,customers!$I$1:$I$1001,,0)</f>
        <v>No</v>
      </c>
    </row>
    <row r="295" spans="1:16" x14ac:dyDescent="0.2">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_xlfn.XLOOKUP(Table1[[#This Row],[Customer ID]],customers!$A$1:$A$1001,customers!$I$1:$I$1001,,0)</f>
        <v>No</v>
      </c>
    </row>
    <row r="296" spans="1:16" x14ac:dyDescent="0.2">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_xlfn.XLOOKUP(Table1[[#This Row],[Customer ID]],customers!$A$1:$A$1001,customers!$I$1:$I$1001,,0)</f>
        <v>No</v>
      </c>
    </row>
    <row r="297" spans="1:16" x14ac:dyDescent="0.2">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_xlfn.XLOOKUP(Table1[[#This Row],[Customer ID]],customers!$A$1:$A$1001,customers!$I$1:$I$1001,,0)</f>
        <v>No</v>
      </c>
    </row>
    <row r="298" spans="1:16" x14ac:dyDescent="0.2">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_xlfn.XLOOKUP(Table1[[#This Row],[Customer ID]],customers!$A$1:$A$1001,customers!$I$1:$I$1001,,0)</f>
        <v>Yes</v>
      </c>
    </row>
    <row r="299" spans="1:16" x14ac:dyDescent="0.2">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_xlfn.XLOOKUP(Table1[[#This Row],[Customer ID]],customers!$A$1:$A$1001,customers!$I$1:$I$1001,,0)</f>
        <v>Yes</v>
      </c>
    </row>
    <row r="300" spans="1:16" x14ac:dyDescent="0.2">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_xlfn.XLOOKUP(Table1[[#This Row],[Customer ID]],customers!$A$1:$A$1001,customers!$I$1:$I$1001,,0)</f>
        <v>Yes</v>
      </c>
    </row>
    <row r="301" spans="1:16" x14ac:dyDescent="0.2">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_xlfn.XLOOKUP(Table1[[#This Row],[Customer ID]],customers!$A$1:$A$1001,customers!$I$1:$I$1001,,0)</f>
        <v>Yes</v>
      </c>
    </row>
    <row r="302" spans="1:16" x14ac:dyDescent="0.2">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_xlfn.XLOOKUP(Table1[[#This Row],[Customer ID]],customers!$A$1:$A$1001,customers!$I$1:$I$1001,,0)</f>
        <v>Yes</v>
      </c>
    </row>
    <row r="303" spans="1:16" x14ac:dyDescent="0.2">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_xlfn.XLOOKUP(Table1[[#This Row],[Customer ID]],customers!$A$1:$A$1001,customers!$I$1:$I$1001,,0)</f>
        <v>Yes</v>
      </c>
    </row>
    <row r="304" spans="1:16" x14ac:dyDescent="0.2">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_xlfn.XLOOKUP(Table1[[#This Row],[Customer ID]],customers!$A$1:$A$1001,customers!$I$1:$I$1001,,0)</f>
        <v>No</v>
      </c>
    </row>
    <row r="305" spans="1:16" x14ac:dyDescent="0.2">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_xlfn.XLOOKUP(Table1[[#This Row],[Customer ID]],customers!$A$1:$A$1001,customers!$I$1:$I$1001,,0)</f>
        <v>Yes</v>
      </c>
    </row>
    <row r="306" spans="1:16" x14ac:dyDescent="0.2">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_xlfn.XLOOKUP(Table1[[#This Row],[Customer ID]],customers!$A$1:$A$1001,customers!$I$1:$I$1001,,0)</f>
        <v>Yes</v>
      </c>
    </row>
    <row r="307" spans="1:16" x14ac:dyDescent="0.2">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_xlfn.XLOOKUP(Table1[[#This Row],[Customer ID]],customers!$A$1:$A$1001,customers!$I$1:$I$1001,,0)</f>
        <v>No</v>
      </c>
    </row>
    <row r="308" spans="1:16" x14ac:dyDescent="0.2">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_xlfn.XLOOKUP(Table1[[#This Row],[Customer ID]],customers!$A$1:$A$1001,customers!$I$1:$I$1001,,0)</f>
        <v>No</v>
      </c>
    </row>
    <row r="309" spans="1:16" x14ac:dyDescent="0.2">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_xlfn.XLOOKUP(Table1[[#This Row],[Customer ID]],customers!$A$1:$A$1001,customers!$I$1:$I$1001,,0)</f>
        <v>Yes</v>
      </c>
    </row>
    <row r="310" spans="1:16" x14ac:dyDescent="0.2">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_xlfn.XLOOKUP(Table1[[#This Row],[Customer ID]],customers!$A$1:$A$1001,customers!$I$1:$I$1001,,0)</f>
        <v>No</v>
      </c>
    </row>
    <row r="311" spans="1:16" x14ac:dyDescent="0.2">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_xlfn.XLOOKUP(Table1[[#This Row],[Customer ID]],customers!$A$1:$A$1001,customers!$I$1:$I$1001,,0)</f>
        <v>Yes</v>
      </c>
    </row>
    <row r="312" spans="1:16" x14ac:dyDescent="0.2">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_xlfn.XLOOKUP(Table1[[#This Row],[Customer ID]],customers!$A$1:$A$1001,customers!$I$1:$I$1001,,0)</f>
        <v>No</v>
      </c>
    </row>
    <row r="313" spans="1:16" x14ac:dyDescent="0.2">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_xlfn.XLOOKUP(Table1[[#This Row],[Customer ID]],customers!$A$1:$A$1001,customers!$I$1:$I$1001,,0)</f>
        <v>Yes</v>
      </c>
    </row>
    <row r="314" spans="1:16" x14ac:dyDescent="0.2">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_xlfn.XLOOKUP(Table1[[#This Row],[Customer ID]],customers!$A$1:$A$1001,customers!$I$1:$I$1001,,0)</f>
        <v>Yes</v>
      </c>
    </row>
    <row r="315" spans="1:16" x14ac:dyDescent="0.2">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_xlfn.XLOOKUP(Table1[[#This Row],[Customer ID]],customers!$A$1:$A$1001,customers!$I$1:$I$1001,,0)</f>
        <v>Yes</v>
      </c>
    </row>
    <row r="316" spans="1:16" x14ac:dyDescent="0.2">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_xlfn.XLOOKUP(Table1[[#This Row],[Customer ID]],customers!$A$1:$A$1001,customers!$I$1:$I$1001,,0)</f>
        <v>No</v>
      </c>
    </row>
    <row r="317" spans="1:16" x14ac:dyDescent="0.2">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_xlfn.XLOOKUP(Table1[[#This Row],[Customer ID]],customers!$A$1:$A$1001,customers!$I$1:$I$1001,,0)</f>
        <v>Yes</v>
      </c>
    </row>
    <row r="318" spans="1:16" x14ac:dyDescent="0.2">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_xlfn.XLOOKUP(Table1[[#This Row],[Customer ID]],customers!$A$1:$A$1001,customers!$I$1:$I$1001,,0)</f>
        <v>No</v>
      </c>
    </row>
    <row r="319" spans="1:16" x14ac:dyDescent="0.2">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_xlfn.XLOOKUP(Table1[[#This Row],[Customer ID]],customers!$A$1:$A$1001,customers!$I$1:$I$1001,,0)</f>
        <v>No</v>
      </c>
    </row>
    <row r="320" spans="1:16" x14ac:dyDescent="0.2">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_xlfn.XLOOKUP(Table1[[#This Row],[Customer ID]],customers!$A$1:$A$1001,customers!$I$1:$I$1001,,0)</f>
        <v>Yes</v>
      </c>
    </row>
    <row r="321" spans="1:16" x14ac:dyDescent="0.2">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_xlfn.XLOOKUP(Table1[[#This Row],[Customer ID]],customers!$A$1:$A$1001,customers!$I$1:$I$1001,,0)</f>
        <v>Yes</v>
      </c>
    </row>
    <row r="322" spans="1:16" x14ac:dyDescent="0.2">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_xlfn.XLOOKUP(Table1[[#This Row],[Customer ID]],customers!$A$1:$A$1001,customers!$I$1:$I$1001,,0)</f>
        <v>Yes</v>
      </c>
    </row>
    <row r="323" spans="1:16" x14ac:dyDescent="0.2">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 IF(I323="Exc","Excelsa", IF(I323= "Ara", "Arabica", IF(I323= "Lib","Liberica", ""))))</f>
        <v>Arabica</v>
      </c>
      <c r="O323" t="str">
        <f t="shared" ref="O323:O386" si="17">IF(J323= "M", "Medium",IF(J323= "L","Light", IF(J323= "D", "Dark")))</f>
        <v>Medium</v>
      </c>
      <c r="P323" t="str">
        <f>_xlfn.XLOOKUP(Table1[[#This Row],[Customer ID]],customers!$A$1:$A$1001,customers!$I$1:$I$1001,,0)</f>
        <v>Yes</v>
      </c>
    </row>
    <row r="324" spans="1:16" x14ac:dyDescent="0.2">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_xlfn.XLOOKUP(Table1[[#This Row],[Customer ID]],customers!$A$1:$A$1001,customers!$I$1:$I$1001,,0)</f>
        <v>No</v>
      </c>
    </row>
    <row r="325" spans="1:16" x14ac:dyDescent="0.2">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_xlfn.XLOOKUP(Table1[[#This Row],[Customer ID]],customers!$A$1:$A$1001,customers!$I$1:$I$1001,,0)</f>
        <v>Yes</v>
      </c>
    </row>
    <row r="326" spans="1:16" x14ac:dyDescent="0.2">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_xlfn.XLOOKUP(Table1[[#This Row],[Customer ID]],customers!$A$1:$A$1001,customers!$I$1:$I$1001,,0)</f>
        <v>No</v>
      </c>
    </row>
    <row r="327" spans="1:16" x14ac:dyDescent="0.2">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_xlfn.XLOOKUP(Table1[[#This Row],[Customer ID]],customers!$A$1:$A$1001,customers!$I$1:$I$1001,,0)</f>
        <v>Yes</v>
      </c>
    </row>
    <row r="328" spans="1:16" x14ac:dyDescent="0.2">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_xlfn.XLOOKUP(Table1[[#This Row],[Customer ID]],customers!$A$1:$A$1001,customers!$I$1:$I$1001,,0)</f>
        <v>No</v>
      </c>
    </row>
    <row r="329" spans="1:16" x14ac:dyDescent="0.2">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_xlfn.XLOOKUP(Table1[[#This Row],[Customer ID]],customers!$A$1:$A$1001,customers!$I$1:$I$1001,,0)</f>
        <v>Yes</v>
      </c>
    </row>
    <row r="330" spans="1:16" x14ac:dyDescent="0.2">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_xlfn.XLOOKUP(Table1[[#This Row],[Customer ID]],customers!$A$1:$A$1001,customers!$I$1:$I$1001,,0)</f>
        <v>Yes</v>
      </c>
    </row>
    <row r="331" spans="1:16" x14ac:dyDescent="0.2">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_xlfn.XLOOKUP(Table1[[#This Row],[Customer ID]],customers!$A$1:$A$1001,customers!$I$1:$I$1001,,0)</f>
        <v>Yes</v>
      </c>
    </row>
    <row r="332" spans="1:16" x14ac:dyDescent="0.2">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_xlfn.XLOOKUP(Table1[[#This Row],[Customer ID]],customers!$A$1:$A$1001,customers!$I$1:$I$1001,,0)</f>
        <v>No</v>
      </c>
    </row>
    <row r="333" spans="1:16" x14ac:dyDescent="0.2">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_xlfn.XLOOKUP(Table1[[#This Row],[Customer ID]],customers!$A$1:$A$1001,customers!$I$1:$I$1001,,0)</f>
        <v>Yes</v>
      </c>
    </row>
    <row r="334" spans="1:16" x14ac:dyDescent="0.2">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_xlfn.XLOOKUP(Table1[[#This Row],[Customer ID]],customers!$A$1:$A$1001,customers!$I$1:$I$1001,,0)</f>
        <v>Yes</v>
      </c>
    </row>
    <row r="335" spans="1:16" x14ac:dyDescent="0.2">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_xlfn.XLOOKUP(Table1[[#This Row],[Customer ID]],customers!$A$1:$A$1001,customers!$I$1:$I$1001,,0)</f>
        <v>Yes</v>
      </c>
    </row>
    <row r="336" spans="1:16" x14ac:dyDescent="0.2">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_xlfn.XLOOKUP(Table1[[#This Row],[Customer ID]],customers!$A$1:$A$1001,customers!$I$1:$I$1001,,0)</f>
        <v>No</v>
      </c>
    </row>
    <row r="337" spans="1:16" x14ac:dyDescent="0.2">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_xlfn.XLOOKUP(Table1[[#This Row],[Customer ID]],customers!$A$1:$A$1001,customers!$I$1:$I$1001,,0)</f>
        <v>Yes</v>
      </c>
    </row>
    <row r="338" spans="1:16" x14ac:dyDescent="0.2">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_xlfn.XLOOKUP(Table1[[#This Row],[Customer ID]],customers!$A$1:$A$1001,customers!$I$1:$I$1001,,0)</f>
        <v>No</v>
      </c>
    </row>
    <row r="339" spans="1:16" x14ac:dyDescent="0.2">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_xlfn.XLOOKUP(Table1[[#This Row],[Customer ID]],customers!$A$1:$A$1001,customers!$I$1:$I$1001,,0)</f>
        <v>No</v>
      </c>
    </row>
    <row r="340" spans="1:16" x14ac:dyDescent="0.2">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_xlfn.XLOOKUP(Table1[[#This Row],[Customer ID]],customers!$A$1:$A$1001,customers!$I$1:$I$1001,,0)</f>
        <v>No</v>
      </c>
    </row>
    <row r="341" spans="1:16" x14ac:dyDescent="0.2">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_xlfn.XLOOKUP(Table1[[#This Row],[Customer ID]],customers!$A$1:$A$1001,customers!$I$1:$I$1001,,0)</f>
        <v>Yes</v>
      </c>
    </row>
    <row r="342" spans="1:16" x14ac:dyDescent="0.2">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_xlfn.XLOOKUP(Table1[[#This Row],[Customer ID]],customers!$A$1:$A$1001,customers!$I$1:$I$1001,,0)</f>
        <v>Yes</v>
      </c>
    </row>
    <row r="343" spans="1:16" x14ac:dyDescent="0.2">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_xlfn.XLOOKUP(Table1[[#This Row],[Customer ID]],customers!$A$1:$A$1001,customers!$I$1:$I$1001,,0)</f>
        <v>No</v>
      </c>
    </row>
    <row r="344" spans="1:16" x14ac:dyDescent="0.2">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_xlfn.XLOOKUP(Table1[[#This Row],[Customer ID]],customers!$A$1:$A$1001,customers!$I$1:$I$1001,,0)</f>
        <v>No</v>
      </c>
    </row>
    <row r="345" spans="1:16" x14ac:dyDescent="0.2">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_xlfn.XLOOKUP(Table1[[#This Row],[Customer ID]],customers!$A$1:$A$1001,customers!$I$1:$I$1001,,0)</f>
        <v>No</v>
      </c>
    </row>
    <row r="346" spans="1:16" x14ac:dyDescent="0.2">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_xlfn.XLOOKUP(Table1[[#This Row],[Customer ID]],customers!$A$1:$A$1001,customers!$I$1:$I$1001,,0)</f>
        <v>Yes</v>
      </c>
    </row>
    <row r="347" spans="1:16" x14ac:dyDescent="0.2">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_xlfn.XLOOKUP(Table1[[#This Row],[Customer ID]],customers!$A$1:$A$1001,customers!$I$1:$I$1001,,0)</f>
        <v>No</v>
      </c>
    </row>
    <row r="348" spans="1:16" x14ac:dyDescent="0.2">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_xlfn.XLOOKUP(Table1[[#This Row],[Customer ID]],customers!$A$1:$A$1001,customers!$I$1:$I$1001,,0)</f>
        <v>Yes</v>
      </c>
    </row>
    <row r="349" spans="1:16" x14ac:dyDescent="0.2">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_xlfn.XLOOKUP(Table1[[#This Row],[Customer ID]],customers!$A$1:$A$1001,customers!$I$1:$I$1001,,0)</f>
        <v>No</v>
      </c>
    </row>
    <row r="350" spans="1:16" x14ac:dyDescent="0.2">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_xlfn.XLOOKUP(Table1[[#This Row],[Customer ID]],customers!$A$1:$A$1001,customers!$I$1:$I$1001,,0)</f>
        <v>No</v>
      </c>
    </row>
    <row r="351" spans="1:16" x14ac:dyDescent="0.2">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_xlfn.XLOOKUP(Table1[[#This Row],[Customer ID]],customers!$A$1:$A$1001,customers!$I$1:$I$1001,,0)</f>
        <v>No</v>
      </c>
    </row>
    <row r="352" spans="1:16" x14ac:dyDescent="0.2">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_xlfn.XLOOKUP(Table1[[#This Row],[Customer ID]],customers!$A$1:$A$1001,customers!$I$1:$I$1001,,0)</f>
        <v>No</v>
      </c>
    </row>
    <row r="353" spans="1:16" x14ac:dyDescent="0.2">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_xlfn.XLOOKUP(Table1[[#This Row],[Customer ID]],customers!$A$1:$A$1001,customers!$I$1:$I$1001,,0)</f>
        <v>No</v>
      </c>
    </row>
    <row r="354" spans="1:16" x14ac:dyDescent="0.2">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_xlfn.XLOOKUP(Table1[[#This Row],[Customer ID]],customers!$A$1:$A$1001,customers!$I$1:$I$1001,,0)</f>
        <v>No</v>
      </c>
    </row>
    <row r="355" spans="1:16" x14ac:dyDescent="0.2">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_xlfn.XLOOKUP(Table1[[#This Row],[Customer ID]],customers!$A$1:$A$1001,customers!$I$1:$I$1001,,0)</f>
        <v>Yes</v>
      </c>
    </row>
    <row r="356" spans="1:16" x14ac:dyDescent="0.2">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_xlfn.XLOOKUP(Table1[[#This Row],[Customer ID]],customers!$A$1:$A$1001,customers!$I$1:$I$1001,,0)</f>
        <v>No</v>
      </c>
    </row>
    <row r="357" spans="1:16" x14ac:dyDescent="0.2">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_xlfn.XLOOKUP(Table1[[#This Row],[Customer ID]],customers!$A$1:$A$1001,customers!$I$1:$I$1001,,0)</f>
        <v>Yes</v>
      </c>
    </row>
    <row r="358" spans="1:16" x14ac:dyDescent="0.2">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_xlfn.XLOOKUP(Table1[[#This Row],[Customer ID]],customers!$A$1:$A$1001,customers!$I$1:$I$1001,,0)</f>
        <v>Yes</v>
      </c>
    </row>
    <row r="359" spans="1:16" x14ac:dyDescent="0.2">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_xlfn.XLOOKUP(Table1[[#This Row],[Customer ID]],customers!$A$1:$A$1001,customers!$I$1:$I$1001,,0)</f>
        <v>No</v>
      </c>
    </row>
    <row r="360" spans="1:16" x14ac:dyDescent="0.2">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_xlfn.XLOOKUP(Table1[[#This Row],[Customer ID]],customers!$A$1:$A$1001,customers!$I$1:$I$1001,,0)</f>
        <v>No</v>
      </c>
    </row>
    <row r="361" spans="1:16" x14ac:dyDescent="0.2">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_xlfn.XLOOKUP(Table1[[#This Row],[Customer ID]],customers!$A$1:$A$1001,customers!$I$1:$I$1001,,0)</f>
        <v>No</v>
      </c>
    </row>
    <row r="362" spans="1:16" x14ac:dyDescent="0.2">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_xlfn.XLOOKUP(Table1[[#This Row],[Customer ID]],customers!$A$1:$A$1001,customers!$I$1:$I$1001,,0)</f>
        <v>No</v>
      </c>
    </row>
    <row r="363" spans="1:16" x14ac:dyDescent="0.2">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_xlfn.XLOOKUP(Table1[[#This Row],[Customer ID]],customers!$A$1:$A$1001,customers!$I$1:$I$1001,,0)</f>
        <v>No</v>
      </c>
    </row>
    <row r="364" spans="1:16" x14ac:dyDescent="0.2">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_xlfn.XLOOKUP(Table1[[#This Row],[Customer ID]],customers!$A$1:$A$1001,customers!$I$1:$I$1001,,0)</f>
        <v>Yes</v>
      </c>
    </row>
    <row r="365" spans="1:16" x14ac:dyDescent="0.2">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_xlfn.XLOOKUP(Table1[[#This Row],[Customer ID]],customers!$A$1:$A$1001,customers!$I$1:$I$1001,,0)</f>
        <v>No</v>
      </c>
    </row>
    <row r="366" spans="1:16" x14ac:dyDescent="0.2">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_xlfn.XLOOKUP(Table1[[#This Row],[Customer ID]],customers!$A$1:$A$1001,customers!$I$1:$I$1001,,0)</f>
        <v>Yes</v>
      </c>
    </row>
    <row r="367" spans="1:16" x14ac:dyDescent="0.2">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_xlfn.XLOOKUP(Table1[[#This Row],[Customer ID]],customers!$A$1:$A$1001,customers!$I$1:$I$1001,,0)</f>
        <v>No</v>
      </c>
    </row>
    <row r="368" spans="1:16" x14ac:dyDescent="0.2">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_xlfn.XLOOKUP(Table1[[#This Row],[Customer ID]],customers!$A$1:$A$1001,customers!$I$1:$I$1001,,0)</f>
        <v>No</v>
      </c>
    </row>
    <row r="369" spans="1:16" x14ac:dyDescent="0.2">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_xlfn.XLOOKUP(Table1[[#This Row],[Customer ID]],customers!$A$1:$A$1001,customers!$I$1:$I$1001,,0)</f>
        <v>Yes</v>
      </c>
    </row>
    <row r="370" spans="1:16" x14ac:dyDescent="0.2">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_xlfn.XLOOKUP(Table1[[#This Row],[Customer ID]],customers!$A$1:$A$1001,customers!$I$1:$I$1001,,0)</f>
        <v>No</v>
      </c>
    </row>
    <row r="371" spans="1:16" x14ac:dyDescent="0.2">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_xlfn.XLOOKUP(Table1[[#This Row],[Customer ID]],customers!$A$1:$A$1001,customers!$I$1:$I$1001,,0)</f>
        <v>Yes</v>
      </c>
    </row>
    <row r="372" spans="1:16" x14ac:dyDescent="0.2">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_xlfn.XLOOKUP(Table1[[#This Row],[Customer ID]],customers!$A$1:$A$1001,customers!$I$1:$I$1001,,0)</f>
        <v>Yes</v>
      </c>
    </row>
    <row r="373" spans="1:16" x14ac:dyDescent="0.2">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_xlfn.XLOOKUP(Table1[[#This Row],[Customer ID]],customers!$A$1:$A$1001,customers!$I$1:$I$1001,,0)</f>
        <v>Yes</v>
      </c>
    </row>
    <row r="374" spans="1:16" x14ac:dyDescent="0.2">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_xlfn.XLOOKUP(Table1[[#This Row],[Customer ID]],customers!$A$1:$A$1001,customers!$I$1:$I$1001,,0)</f>
        <v>No</v>
      </c>
    </row>
    <row r="375" spans="1:16" x14ac:dyDescent="0.2">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_xlfn.XLOOKUP(Table1[[#This Row],[Customer ID]],customers!$A$1:$A$1001,customers!$I$1:$I$1001,,0)</f>
        <v>Yes</v>
      </c>
    </row>
    <row r="376" spans="1:16" x14ac:dyDescent="0.2">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_xlfn.XLOOKUP(Table1[[#This Row],[Customer ID]],customers!$A$1:$A$1001,customers!$I$1:$I$1001,,0)</f>
        <v>Yes</v>
      </c>
    </row>
    <row r="377" spans="1:16" x14ac:dyDescent="0.2">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_xlfn.XLOOKUP(Table1[[#This Row],[Customer ID]],customers!$A$1:$A$1001,customers!$I$1:$I$1001,,0)</f>
        <v>Yes</v>
      </c>
    </row>
    <row r="378" spans="1:16" x14ac:dyDescent="0.2">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_xlfn.XLOOKUP(Table1[[#This Row],[Customer ID]],customers!$A$1:$A$1001,customers!$I$1:$I$1001,,0)</f>
        <v>Yes</v>
      </c>
    </row>
    <row r="379" spans="1:16" x14ac:dyDescent="0.2">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_xlfn.XLOOKUP(Table1[[#This Row],[Customer ID]],customers!$A$1:$A$1001,customers!$I$1:$I$1001,,0)</f>
        <v>No</v>
      </c>
    </row>
    <row r="380" spans="1:16" x14ac:dyDescent="0.2">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_xlfn.XLOOKUP(Table1[[#This Row],[Customer ID]],customers!$A$1:$A$1001,customers!$I$1:$I$1001,,0)</f>
        <v>Yes</v>
      </c>
    </row>
    <row r="381" spans="1:16" x14ac:dyDescent="0.2">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_xlfn.XLOOKUP(Table1[[#This Row],[Customer ID]],customers!$A$1:$A$1001,customers!$I$1:$I$1001,,0)</f>
        <v>Yes</v>
      </c>
    </row>
    <row r="382" spans="1:16" x14ac:dyDescent="0.2">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_xlfn.XLOOKUP(Table1[[#This Row],[Customer ID]],customers!$A$1:$A$1001,customers!$I$1:$I$1001,,0)</f>
        <v>No</v>
      </c>
    </row>
    <row r="383" spans="1:16" x14ac:dyDescent="0.2">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_xlfn.XLOOKUP(Table1[[#This Row],[Customer ID]],customers!$A$1:$A$1001,customers!$I$1:$I$1001,,0)</f>
        <v>Yes</v>
      </c>
    </row>
    <row r="384" spans="1:16" x14ac:dyDescent="0.2">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_xlfn.XLOOKUP(Table1[[#This Row],[Customer ID]],customers!$A$1:$A$1001,customers!$I$1:$I$1001,,0)</f>
        <v>No</v>
      </c>
    </row>
    <row r="385" spans="1:16" x14ac:dyDescent="0.2">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_xlfn.XLOOKUP(Table1[[#This Row],[Customer ID]],customers!$A$1:$A$1001,customers!$I$1:$I$1001,,0)</f>
        <v>Yes</v>
      </c>
    </row>
    <row r="386" spans="1:16" x14ac:dyDescent="0.2">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_xlfn.XLOOKUP(Table1[[#This Row],[Customer ID]],customers!$A$1:$A$1001,customers!$I$1:$I$1001,,0)</f>
        <v>No</v>
      </c>
    </row>
    <row r="387" spans="1:16" x14ac:dyDescent="0.2">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 IF(I387="Exc","Excelsa", IF(I387= "Ara", "Arabica", IF(I387= "Lib","Liberica", ""))))</f>
        <v>Liberica</v>
      </c>
      <c r="O387" t="str">
        <f t="shared" ref="O387:O450" si="20">IF(J387= "M", "Medium",IF(J387= "L","Light", IF(J387= "D", "Dark")))</f>
        <v>Medium</v>
      </c>
      <c r="P387" t="str">
        <f>_xlfn.XLOOKUP(Table1[[#This Row],[Customer ID]],customers!$A$1:$A$1001,customers!$I$1:$I$1001,,0)</f>
        <v>Yes</v>
      </c>
    </row>
    <row r="388" spans="1:16" x14ac:dyDescent="0.2">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_xlfn.XLOOKUP(Table1[[#This Row],[Customer ID]],customers!$A$1:$A$1001,customers!$I$1:$I$1001,,0)</f>
        <v>Yes</v>
      </c>
    </row>
    <row r="389" spans="1:16" x14ac:dyDescent="0.2">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_xlfn.XLOOKUP(Table1[[#This Row],[Customer ID]],customers!$A$1:$A$1001,customers!$I$1:$I$1001,,0)</f>
        <v>Yes</v>
      </c>
    </row>
    <row r="390" spans="1:16" x14ac:dyDescent="0.2">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_xlfn.XLOOKUP(Table1[[#This Row],[Customer ID]],customers!$A$1:$A$1001,customers!$I$1:$I$1001,,0)</f>
        <v>Yes</v>
      </c>
    </row>
    <row r="391" spans="1:16" x14ac:dyDescent="0.2">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_xlfn.XLOOKUP(Table1[[#This Row],[Customer ID]],customers!$A$1:$A$1001,customers!$I$1:$I$1001,,0)</f>
        <v>Yes</v>
      </c>
    </row>
    <row r="392" spans="1:16" x14ac:dyDescent="0.2">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_xlfn.XLOOKUP(Table1[[#This Row],[Customer ID]],customers!$A$1:$A$1001,customers!$I$1:$I$1001,,0)</f>
        <v>Yes</v>
      </c>
    </row>
    <row r="393" spans="1:16" x14ac:dyDescent="0.2">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_xlfn.XLOOKUP(Table1[[#This Row],[Customer ID]],customers!$A$1:$A$1001,customers!$I$1:$I$1001,,0)</f>
        <v>No</v>
      </c>
    </row>
    <row r="394" spans="1:16" x14ac:dyDescent="0.2">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_xlfn.XLOOKUP(Table1[[#This Row],[Customer ID]],customers!$A$1:$A$1001,customers!$I$1:$I$1001,,0)</f>
        <v>No</v>
      </c>
    </row>
    <row r="395" spans="1:16" x14ac:dyDescent="0.2">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_xlfn.XLOOKUP(Table1[[#This Row],[Customer ID]],customers!$A$1:$A$1001,customers!$I$1:$I$1001,,0)</f>
        <v>No</v>
      </c>
    </row>
    <row r="396" spans="1:16" x14ac:dyDescent="0.2">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_xlfn.XLOOKUP(Table1[[#This Row],[Customer ID]],customers!$A$1:$A$1001,customers!$I$1:$I$1001,,0)</f>
        <v>No</v>
      </c>
    </row>
    <row r="397" spans="1:16" x14ac:dyDescent="0.2">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_xlfn.XLOOKUP(Table1[[#This Row],[Customer ID]],customers!$A$1:$A$1001,customers!$I$1:$I$1001,,0)</f>
        <v>Yes</v>
      </c>
    </row>
    <row r="398" spans="1:16" x14ac:dyDescent="0.2">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_xlfn.XLOOKUP(Table1[[#This Row],[Customer ID]],customers!$A$1:$A$1001,customers!$I$1:$I$1001,,0)</f>
        <v>No</v>
      </c>
    </row>
    <row r="399" spans="1:16" x14ac:dyDescent="0.2">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_xlfn.XLOOKUP(Table1[[#This Row],[Customer ID]],customers!$A$1:$A$1001,customers!$I$1:$I$1001,,0)</f>
        <v>Yes</v>
      </c>
    </row>
    <row r="400" spans="1:16" x14ac:dyDescent="0.2">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_xlfn.XLOOKUP(Table1[[#This Row],[Customer ID]],customers!$A$1:$A$1001,customers!$I$1:$I$1001,,0)</f>
        <v>Yes</v>
      </c>
    </row>
    <row r="401" spans="1:16" x14ac:dyDescent="0.2">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_xlfn.XLOOKUP(Table1[[#This Row],[Customer ID]],customers!$A$1:$A$1001,customers!$I$1:$I$1001,,0)</f>
        <v>No</v>
      </c>
    </row>
    <row r="402" spans="1:16" x14ac:dyDescent="0.2">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_xlfn.XLOOKUP(Table1[[#This Row],[Customer ID]],customers!$A$1:$A$1001,customers!$I$1:$I$1001,,0)</f>
        <v>No</v>
      </c>
    </row>
    <row r="403" spans="1:16" x14ac:dyDescent="0.2">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_xlfn.XLOOKUP(Table1[[#This Row],[Customer ID]],customers!$A$1:$A$1001,customers!$I$1:$I$1001,,0)</f>
        <v>Yes</v>
      </c>
    </row>
    <row r="404" spans="1:16" x14ac:dyDescent="0.2">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_xlfn.XLOOKUP(Table1[[#This Row],[Customer ID]],customers!$A$1:$A$1001,customers!$I$1:$I$1001,,0)</f>
        <v>Yes</v>
      </c>
    </row>
    <row r="405" spans="1:16" x14ac:dyDescent="0.2">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_xlfn.XLOOKUP(Table1[[#This Row],[Customer ID]],customers!$A$1:$A$1001,customers!$I$1:$I$1001,,0)</f>
        <v>No</v>
      </c>
    </row>
    <row r="406" spans="1:16" x14ac:dyDescent="0.2">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_xlfn.XLOOKUP(Table1[[#This Row],[Customer ID]],customers!$A$1:$A$1001,customers!$I$1:$I$1001,,0)</f>
        <v>No</v>
      </c>
    </row>
    <row r="407" spans="1:16" x14ac:dyDescent="0.2">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_xlfn.XLOOKUP(Table1[[#This Row],[Customer ID]],customers!$A$1:$A$1001,customers!$I$1:$I$1001,,0)</f>
        <v>Yes</v>
      </c>
    </row>
    <row r="408" spans="1:16" x14ac:dyDescent="0.2">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_xlfn.XLOOKUP(Table1[[#This Row],[Customer ID]],customers!$A$1:$A$1001,customers!$I$1:$I$1001,,0)</f>
        <v>Yes</v>
      </c>
    </row>
    <row r="409" spans="1:16" x14ac:dyDescent="0.2">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_xlfn.XLOOKUP(Table1[[#This Row],[Customer ID]],customers!$A$1:$A$1001,customers!$I$1:$I$1001,,0)</f>
        <v>No</v>
      </c>
    </row>
    <row r="410" spans="1:16" x14ac:dyDescent="0.2">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_xlfn.XLOOKUP(Table1[[#This Row],[Customer ID]],customers!$A$1:$A$1001,customers!$I$1:$I$1001,,0)</f>
        <v>Yes</v>
      </c>
    </row>
    <row r="411" spans="1:16" x14ac:dyDescent="0.2">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_xlfn.XLOOKUP(Table1[[#This Row],[Customer ID]],customers!$A$1:$A$1001,customers!$I$1:$I$1001,,0)</f>
        <v>Yes</v>
      </c>
    </row>
    <row r="412" spans="1:16" x14ac:dyDescent="0.2">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_xlfn.XLOOKUP(Table1[[#This Row],[Customer ID]],customers!$A$1:$A$1001,customers!$I$1:$I$1001,,0)</f>
        <v>No</v>
      </c>
    </row>
    <row r="413" spans="1:16" x14ac:dyDescent="0.2">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_xlfn.XLOOKUP(Table1[[#This Row],[Customer ID]],customers!$A$1:$A$1001,customers!$I$1:$I$1001,,0)</f>
        <v>Yes</v>
      </c>
    </row>
    <row r="414" spans="1:16" x14ac:dyDescent="0.2">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_xlfn.XLOOKUP(Table1[[#This Row],[Customer ID]],customers!$A$1:$A$1001,customers!$I$1:$I$1001,,0)</f>
        <v>Yes</v>
      </c>
    </row>
    <row r="415" spans="1:16" x14ac:dyDescent="0.2">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_xlfn.XLOOKUP(Table1[[#This Row],[Customer ID]],customers!$A$1:$A$1001,customers!$I$1:$I$1001,,0)</f>
        <v>Yes</v>
      </c>
    </row>
    <row r="416" spans="1:16" x14ac:dyDescent="0.2">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_xlfn.XLOOKUP(Table1[[#This Row],[Customer ID]],customers!$A$1:$A$1001,customers!$I$1:$I$1001,,0)</f>
        <v>Yes</v>
      </c>
    </row>
    <row r="417" spans="1:16" x14ac:dyDescent="0.2">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_xlfn.XLOOKUP(Table1[[#This Row],[Customer ID]],customers!$A$1:$A$1001,customers!$I$1:$I$1001,,0)</f>
        <v>No</v>
      </c>
    </row>
    <row r="418" spans="1:16" x14ac:dyDescent="0.2">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_xlfn.XLOOKUP(Table1[[#This Row],[Customer ID]],customers!$A$1:$A$1001,customers!$I$1:$I$1001,,0)</f>
        <v>Yes</v>
      </c>
    </row>
    <row r="419" spans="1:16" x14ac:dyDescent="0.2">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_xlfn.XLOOKUP(Table1[[#This Row],[Customer ID]],customers!$A$1:$A$1001,customers!$I$1:$I$1001,,0)</f>
        <v>Yes</v>
      </c>
    </row>
    <row r="420" spans="1:16" x14ac:dyDescent="0.2">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_xlfn.XLOOKUP(Table1[[#This Row],[Customer ID]],customers!$A$1:$A$1001,customers!$I$1:$I$1001,,0)</f>
        <v>Yes</v>
      </c>
    </row>
    <row r="421" spans="1:16" x14ac:dyDescent="0.2">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_xlfn.XLOOKUP(Table1[[#This Row],[Customer ID]],customers!$A$1:$A$1001,customers!$I$1:$I$1001,,0)</f>
        <v>Yes</v>
      </c>
    </row>
    <row r="422" spans="1:16" x14ac:dyDescent="0.2">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_xlfn.XLOOKUP(Table1[[#This Row],[Customer ID]],customers!$A$1:$A$1001,customers!$I$1:$I$1001,,0)</f>
        <v>No</v>
      </c>
    </row>
    <row r="423" spans="1:16" x14ac:dyDescent="0.2">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_xlfn.XLOOKUP(Table1[[#This Row],[Customer ID]],customers!$A$1:$A$1001,customers!$I$1:$I$1001,,0)</f>
        <v>No</v>
      </c>
    </row>
    <row r="424" spans="1:16" x14ac:dyDescent="0.2">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_xlfn.XLOOKUP(Table1[[#This Row],[Customer ID]],customers!$A$1:$A$1001,customers!$I$1:$I$1001,,0)</f>
        <v>No</v>
      </c>
    </row>
    <row r="425" spans="1:16" x14ac:dyDescent="0.2">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_xlfn.XLOOKUP(Table1[[#This Row],[Customer ID]],customers!$A$1:$A$1001,customers!$I$1:$I$1001,,0)</f>
        <v>No</v>
      </c>
    </row>
    <row r="426" spans="1:16" x14ac:dyDescent="0.2">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_xlfn.XLOOKUP(Table1[[#This Row],[Customer ID]],customers!$A$1:$A$1001,customers!$I$1:$I$1001,,0)</f>
        <v>Yes</v>
      </c>
    </row>
    <row r="427" spans="1:16" x14ac:dyDescent="0.2">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_xlfn.XLOOKUP(Table1[[#This Row],[Customer ID]],customers!$A$1:$A$1001,customers!$I$1:$I$1001,,0)</f>
        <v>No</v>
      </c>
    </row>
    <row r="428" spans="1:16" x14ac:dyDescent="0.2">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_xlfn.XLOOKUP(Table1[[#This Row],[Customer ID]],customers!$A$1:$A$1001,customers!$I$1:$I$1001,,0)</f>
        <v>Yes</v>
      </c>
    </row>
    <row r="429" spans="1:16" x14ac:dyDescent="0.2">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_xlfn.XLOOKUP(Table1[[#This Row],[Customer ID]],customers!$A$1:$A$1001,customers!$I$1:$I$1001,,0)</f>
        <v>Yes</v>
      </c>
    </row>
    <row r="430" spans="1:16" x14ac:dyDescent="0.2">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_xlfn.XLOOKUP(Table1[[#This Row],[Customer ID]],customers!$A$1:$A$1001,customers!$I$1:$I$1001,,0)</f>
        <v>No</v>
      </c>
    </row>
    <row r="431" spans="1:16" x14ac:dyDescent="0.2">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_xlfn.XLOOKUP(Table1[[#This Row],[Customer ID]],customers!$A$1:$A$1001,customers!$I$1:$I$1001,,0)</f>
        <v>No</v>
      </c>
    </row>
    <row r="432" spans="1:16" x14ac:dyDescent="0.2">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_xlfn.XLOOKUP(Table1[[#This Row],[Customer ID]],customers!$A$1:$A$1001,customers!$I$1:$I$1001,,0)</f>
        <v>Yes</v>
      </c>
    </row>
    <row r="433" spans="1:16" x14ac:dyDescent="0.2">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_xlfn.XLOOKUP(Table1[[#This Row],[Customer ID]],customers!$A$1:$A$1001,customers!$I$1:$I$1001,,0)</f>
        <v>Yes</v>
      </c>
    </row>
    <row r="434" spans="1:16" x14ac:dyDescent="0.2">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_xlfn.XLOOKUP(Table1[[#This Row],[Customer ID]],customers!$A$1:$A$1001,customers!$I$1:$I$1001,,0)</f>
        <v>No</v>
      </c>
    </row>
    <row r="435" spans="1:16" x14ac:dyDescent="0.2">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_xlfn.XLOOKUP(Table1[[#This Row],[Customer ID]],customers!$A$1:$A$1001,customers!$I$1:$I$1001,,0)</f>
        <v>Yes</v>
      </c>
    </row>
    <row r="436" spans="1:16" x14ac:dyDescent="0.2">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_xlfn.XLOOKUP(Table1[[#This Row],[Customer ID]],customers!$A$1:$A$1001,customers!$I$1:$I$1001,,0)</f>
        <v>No</v>
      </c>
    </row>
    <row r="437" spans="1:16" x14ac:dyDescent="0.2">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_xlfn.XLOOKUP(Table1[[#This Row],[Customer ID]],customers!$A$1:$A$1001,customers!$I$1:$I$1001,,0)</f>
        <v>No</v>
      </c>
    </row>
    <row r="438" spans="1:16" x14ac:dyDescent="0.2">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_xlfn.XLOOKUP(Table1[[#This Row],[Customer ID]],customers!$A$1:$A$1001,customers!$I$1:$I$1001,,0)</f>
        <v>Yes</v>
      </c>
    </row>
    <row r="439" spans="1:16" x14ac:dyDescent="0.2">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_xlfn.XLOOKUP(Table1[[#This Row],[Customer ID]],customers!$A$1:$A$1001,customers!$I$1:$I$1001,,0)</f>
        <v>No</v>
      </c>
    </row>
    <row r="440" spans="1:16" x14ac:dyDescent="0.2">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_xlfn.XLOOKUP(Table1[[#This Row],[Customer ID]],customers!$A$1:$A$1001,customers!$I$1:$I$1001,,0)</f>
        <v>No</v>
      </c>
    </row>
    <row r="441" spans="1:16" x14ac:dyDescent="0.2">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_xlfn.XLOOKUP(Table1[[#This Row],[Customer ID]],customers!$A$1:$A$1001,customers!$I$1:$I$1001,,0)</f>
        <v>No</v>
      </c>
    </row>
    <row r="442" spans="1:16" x14ac:dyDescent="0.2">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_xlfn.XLOOKUP(Table1[[#This Row],[Customer ID]],customers!$A$1:$A$1001,customers!$I$1:$I$1001,,0)</f>
        <v>Yes</v>
      </c>
    </row>
    <row r="443" spans="1:16" x14ac:dyDescent="0.2">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_xlfn.XLOOKUP(Table1[[#This Row],[Customer ID]],customers!$A$1:$A$1001,customers!$I$1:$I$1001,,0)</f>
        <v>Yes</v>
      </c>
    </row>
    <row r="444" spans="1:16" x14ac:dyDescent="0.2">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_xlfn.XLOOKUP(Table1[[#This Row],[Customer ID]],customers!$A$1:$A$1001,customers!$I$1:$I$1001,,0)</f>
        <v>No</v>
      </c>
    </row>
    <row r="445" spans="1:16" x14ac:dyDescent="0.2">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_xlfn.XLOOKUP(Table1[[#This Row],[Customer ID]],customers!$A$1:$A$1001,customers!$I$1:$I$1001,,0)</f>
        <v>Yes</v>
      </c>
    </row>
    <row r="446" spans="1:16" x14ac:dyDescent="0.2">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_xlfn.XLOOKUP(Table1[[#This Row],[Customer ID]],customers!$A$1:$A$1001,customers!$I$1:$I$1001,,0)</f>
        <v>No</v>
      </c>
    </row>
    <row r="447" spans="1:16" x14ac:dyDescent="0.2">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_xlfn.XLOOKUP(Table1[[#This Row],[Customer ID]],customers!$A$1:$A$1001,customers!$I$1:$I$1001,,0)</f>
        <v>Yes</v>
      </c>
    </row>
    <row r="448" spans="1:16" x14ac:dyDescent="0.2">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_xlfn.XLOOKUP(Table1[[#This Row],[Customer ID]],customers!$A$1:$A$1001,customers!$I$1:$I$1001,,0)</f>
        <v>Yes</v>
      </c>
    </row>
    <row r="449" spans="1:16" x14ac:dyDescent="0.2">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_xlfn.XLOOKUP(Table1[[#This Row],[Customer ID]],customers!$A$1:$A$1001,customers!$I$1:$I$1001,,0)</f>
        <v>No</v>
      </c>
    </row>
    <row r="450" spans="1:16" x14ac:dyDescent="0.2">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_xlfn.XLOOKUP(Table1[[#This Row],[Customer ID]],customers!$A$1:$A$1001,customers!$I$1:$I$1001,,0)</f>
        <v>No</v>
      </c>
    </row>
    <row r="451" spans="1:16" x14ac:dyDescent="0.2">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 IF(I451="Exc","Excelsa", IF(I451= "Ara", "Arabica", IF(I451= "Lib","Liberica", ""))))</f>
        <v>Robusta</v>
      </c>
      <c r="O451" t="str">
        <f t="shared" ref="O451:O514" si="23">IF(J451= "M", "Medium",IF(J451= "L","Light", IF(J451= "D", "Dark")))</f>
        <v>Dark</v>
      </c>
      <c r="P451" t="str">
        <f>_xlfn.XLOOKUP(Table1[[#This Row],[Customer ID]],customers!$A$1:$A$1001,customers!$I$1:$I$1001,,0)</f>
        <v>No</v>
      </c>
    </row>
    <row r="452" spans="1:16" x14ac:dyDescent="0.2">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_xlfn.XLOOKUP(Table1[[#This Row],[Customer ID]],customers!$A$1:$A$1001,customers!$I$1:$I$1001,,0)</f>
        <v>No</v>
      </c>
    </row>
    <row r="453" spans="1:16" x14ac:dyDescent="0.2">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_xlfn.XLOOKUP(Table1[[#This Row],[Customer ID]],customers!$A$1:$A$1001,customers!$I$1:$I$1001,,0)</f>
        <v>Yes</v>
      </c>
    </row>
    <row r="454" spans="1:16" x14ac:dyDescent="0.2">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_xlfn.XLOOKUP(Table1[[#This Row],[Customer ID]],customers!$A$1:$A$1001,customers!$I$1:$I$1001,,0)</f>
        <v>No</v>
      </c>
    </row>
    <row r="455" spans="1:16" x14ac:dyDescent="0.2">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_xlfn.XLOOKUP(Table1[[#This Row],[Customer ID]],customers!$A$1:$A$1001,customers!$I$1:$I$1001,,0)</f>
        <v>No</v>
      </c>
    </row>
    <row r="456" spans="1:16" x14ac:dyDescent="0.2">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_xlfn.XLOOKUP(Table1[[#This Row],[Customer ID]],customers!$A$1:$A$1001,customers!$I$1:$I$1001,,0)</f>
        <v>Yes</v>
      </c>
    </row>
    <row r="457" spans="1:16" x14ac:dyDescent="0.2">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_xlfn.XLOOKUP(Table1[[#This Row],[Customer ID]],customers!$A$1:$A$1001,customers!$I$1:$I$1001,,0)</f>
        <v>Yes</v>
      </c>
    </row>
    <row r="458" spans="1:16" x14ac:dyDescent="0.2">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_xlfn.XLOOKUP(Table1[[#This Row],[Customer ID]],customers!$A$1:$A$1001,customers!$I$1:$I$1001,,0)</f>
        <v>No</v>
      </c>
    </row>
    <row r="459" spans="1:16" x14ac:dyDescent="0.2">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_xlfn.XLOOKUP(Table1[[#This Row],[Customer ID]],customers!$A$1:$A$1001,customers!$I$1:$I$1001,,0)</f>
        <v>No</v>
      </c>
    </row>
    <row r="460" spans="1:16" x14ac:dyDescent="0.2">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_xlfn.XLOOKUP(Table1[[#This Row],[Customer ID]],customers!$A$1:$A$1001,customers!$I$1:$I$1001,,0)</f>
        <v>No</v>
      </c>
    </row>
    <row r="461" spans="1:16" x14ac:dyDescent="0.2">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_xlfn.XLOOKUP(Table1[[#This Row],[Customer ID]],customers!$A$1:$A$1001,customers!$I$1:$I$1001,,0)</f>
        <v>No</v>
      </c>
    </row>
    <row r="462" spans="1:16" x14ac:dyDescent="0.2">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_xlfn.XLOOKUP(Table1[[#This Row],[Customer ID]],customers!$A$1:$A$1001,customers!$I$1:$I$1001,,0)</f>
        <v>Yes</v>
      </c>
    </row>
    <row r="463" spans="1:16" x14ac:dyDescent="0.2">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_xlfn.XLOOKUP(Table1[[#This Row],[Customer ID]],customers!$A$1:$A$1001,customers!$I$1:$I$1001,,0)</f>
        <v>Yes</v>
      </c>
    </row>
    <row r="464" spans="1:16" x14ac:dyDescent="0.2">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_xlfn.XLOOKUP(Table1[[#This Row],[Customer ID]],customers!$A$1:$A$1001,customers!$I$1:$I$1001,,0)</f>
        <v>Yes</v>
      </c>
    </row>
    <row r="465" spans="1:16" x14ac:dyDescent="0.2">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_xlfn.XLOOKUP(Table1[[#This Row],[Customer ID]],customers!$A$1:$A$1001,customers!$I$1:$I$1001,,0)</f>
        <v>No</v>
      </c>
    </row>
    <row r="466" spans="1:16" x14ac:dyDescent="0.2">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_xlfn.XLOOKUP(Table1[[#This Row],[Customer ID]],customers!$A$1:$A$1001,customers!$I$1:$I$1001,,0)</f>
        <v>No</v>
      </c>
    </row>
    <row r="467" spans="1:16" x14ac:dyDescent="0.2">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_xlfn.XLOOKUP(Table1[[#This Row],[Customer ID]],customers!$A$1:$A$1001,customers!$I$1:$I$1001,,0)</f>
        <v>Yes</v>
      </c>
    </row>
    <row r="468" spans="1:16" x14ac:dyDescent="0.2">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_xlfn.XLOOKUP(Table1[[#This Row],[Customer ID]],customers!$A$1:$A$1001,customers!$I$1:$I$1001,,0)</f>
        <v>Yes</v>
      </c>
    </row>
    <row r="469" spans="1:16" x14ac:dyDescent="0.2">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_xlfn.XLOOKUP(Table1[[#This Row],[Customer ID]],customers!$A$1:$A$1001,customers!$I$1:$I$1001,,0)</f>
        <v>No</v>
      </c>
    </row>
    <row r="470" spans="1:16" x14ac:dyDescent="0.2">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_xlfn.XLOOKUP(Table1[[#This Row],[Customer ID]],customers!$A$1:$A$1001,customers!$I$1:$I$1001,,0)</f>
        <v>Yes</v>
      </c>
    </row>
    <row r="471" spans="1:16" x14ac:dyDescent="0.2">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_xlfn.XLOOKUP(Table1[[#This Row],[Customer ID]],customers!$A$1:$A$1001,customers!$I$1:$I$1001,,0)</f>
        <v>Yes</v>
      </c>
    </row>
    <row r="472" spans="1:16" x14ac:dyDescent="0.2">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_xlfn.XLOOKUP(Table1[[#This Row],[Customer ID]],customers!$A$1:$A$1001,customers!$I$1:$I$1001,,0)</f>
        <v>Yes</v>
      </c>
    </row>
    <row r="473" spans="1:16" x14ac:dyDescent="0.2">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_xlfn.XLOOKUP(Table1[[#This Row],[Customer ID]],customers!$A$1:$A$1001,customers!$I$1:$I$1001,,0)</f>
        <v>Yes</v>
      </c>
    </row>
    <row r="474" spans="1:16" x14ac:dyDescent="0.2">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_xlfn.XLOOKUP(Table1[[#This Row],[Customer ID]],customers!$A$1:$A$1001,customers!$I$1:$I$1001,,0)</f>
        <v>No</v>
      </c>
    </row>
    <row r="475" spans="1:16" x14ac:dyDescent="0.2">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_xlfn.XLOOKUP(Table1[[#This Row],[Customer ID]],customers!$A$1:$A$1001,customers!$I$1:$I$1001,,0)</f>
        <v>No</v>
      </c>
    </row>
    <row r="476" spans="1:16" x14ac:dyDescent="0.2">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_xlfn.XLOOKUP(Table1[[#This Row],[Customer ID]],customers!$A$1:$A$1001,customers!$I$1:$I$1001,,0)</f>
        <v>Yes</v>
      </c>
    </row>
    <row r="477" spans="1:16" x14ac:dyDescent="0.2">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_xlfn.XLOOKUP(Table1[[#This Row],[Customer ID]],customers!$A$1:$A$1001,customers!$I$1:$I$1001,,0)</f>
        <v>No</v>
      </c>
    </row>
    <row r="478" spans="1:16" x14ac:dyDescent="0.2">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_xlfn.XLOOKUP(Table1[[#This Row],[Customer ID]],customers!$A$1:$A$1001,customers!$I$1:$I$1001,,0)</f>
        <v>Yes</v>
      </c>
    </row>
    <row r="479" spans="1:16" x14ac:dyDescent="0.2">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_xlfn.XLOOKUP(Table1[[#This Row],[Customer ID]],customers!$A$1:$A$1001,customers!$I$1:$I$1001,,0)</f>
        <v>No</v>
      </c>
    </row>
    <row r="480" spans="1:16" x14ac:dyDescent="0.2">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_xlfn.XLOOKUP(Table1[[#This Row],[Customer ID]],customers!$A$1:$A$1001,customers!$I$1:$I$1001,,0)</f>
        <v>Yes</v>
      </c>
    </row>
    <row r="481" spans="1:16" x14ac:dyDescent="0.2">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_xlfn.XLOOKUP(Table1[[#This Row],[Customer ID]],customers!$A$1:$A$1001,customers!$I$1:$I$1001,,0)</f>
        <v>Yes</v>
      </c>
    </row>
    <row r="482" spans="1:16" x14ac:dyDescent="0.2">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_xlfn.XLOOKUP(Table1[[#This Row],[Customer ID]],customers!$A$1:$A$1001,customers!$I$1:$I$1001,,0)</f>
        <v>Yes</v>
      </c>
    </row>
    <row r="483" spans="1:16" x14ac:dyDescent="0.2">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_xlfn.XLOOKUP(Table1[[#This Row],[Customer ID]],customers!$A$1:$A$1001,customers!$I$1:$I$1001,,0)</f>
        <v>No</v>
      </c>
    </row>
    <row r="484" spans="1:16" x14ac:dyDescent="0.2">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_xlfn.XLOOKUP(Table1[[#This Row],[Customer ID]],customers!$A$1:$A$1001,customers!$I$1:$I$1001,,0)</f>
        <v>Yes</v>
      </c>
    </row>
    <row r="485" spans="1:16" x14ac:dyDescent="0.2">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_xlfn.XLOOKUP(Table1[[#This Row],[Customer ID]],customers!$A$1:$A$1001,customers!$I$1:$I$1001,,0)</f>
        <v>Yes</v>
      </c>
    </row>
    <row r="486" spans="1:16" x14ac:dyDescent="0.2">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_xlfn.XLOOKUP(Table1[[#This Row],[Customer ID]],customers!$A$1:$A$1001,customers!$I$1:$I$1001,,0)</f>
        <v>No</v>
      </c>
    </row>
    <row r="487" spans="1:16" x14ac:dyDescent="0.2">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_xlfn.XLOOKUP(Table1[[#This Row],[Customer ID]],customers!$A$1:$A$1001,customers!$I$1:$I$1001,,0)</f>
        <v>Yes</v>
      </c>
    </row>
    <row r="488" spans="1:16" x14ac:dyDescent="0.2">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_xlfn.XLOOKUP(Table1[[#This Row],[Customer ID]],customers!$A$1:$A$1001,customers!$I$1:$I$1001,,0)</f>
        <v>Yes</v>
      </c>
    </row>
    <row r="489" spans="1:16" x14ac:dyDescent="0.2">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_xlfn.XLOOKUP(Table1[[#This Row],[Customer ID]],customers!$A$1:$A$1001,customers!$I$1:$I$1001,,0)</f>
        <v>No</v>
      </c>
    </row>
    <row r="490" spans="1:16" x14ac:dyDescent="0.2">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_xlfn.XLOOKUP(Table1[[#This Row],[Customer ID]],customers!$A$1:$A$1001,customers!$I$1:$I$1001,,0)</f>
        <v>Yes</v>
      </c>
    </row>
    <row r="491" spans="1:16" x14ac:dyDescent="0.2">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_xlfn.XLOOKUP(Table1[[#This Row],[Customer ID]],customers!$A$1:$A$1001,customers!$I$1:$I$1001,,0)</f>
        <v>No</v>
      </c>
    </row>
    <row r="492" spans="1:16" x14ac:dyDescent="0.2">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_xlfn.XLOOKUP(Table1[[#This Row],[Customer ID]],customers!$A$1:$A$1001,customers!$I$1:$I$1001,,0)</f>
        <v>No</v>
      </c>
    </row>
    <row r="493" spans="1:16" x14ac:dyDescent="0.2">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_xlfn.XLOOKUP(Table1[[#This Row],[Customer ID]],customers!$A$1:$A$1001,customers!$I$1:$I$1001,,0)</f>
        <v>No</v>
      </c>
    </row>
    <row r="494" spans="1:16" x14ac:dyDescent="0.2">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_xlfn.XLOOKUP(Table1[[#This Row],[Customer ID]],customers!$A$1:$A$1001,customers!$I$1:$I$1001,,0)</f>
        <v>Yes</v>
      </c>
    </row>
    <row r="495" spans="1:16" x14ac:dyDescent="0.2">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_xlfn.XLOOKUP(Table1[[#This Row],[Customer ID]],customers!$A$1:$A$1001,customers!$I$1:$I$1001,,0)</f>
        <v>No</v>
      </c>
    </row>
    <row r="496" spans="1:16" x14ac:dyDescent="0.2">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_xlfn.XLOOKUP(Table1[[#This Row],[Customer ID]],customers!$A$1:$A$1001,customers!$I$1:$I$1001,,0)</f>
        <v>No</v>
      </c>
    </row>
    <row r="497" spans="1:16" x14ac:dyDescent="0.2">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_xlfn.XLOOKUP(Table1[[#This Row],[Customer ID]],customers!$A$1:$A$1001,customers!$I$1:$I$1001,,0)</f>
        <v>Yes</v>
      </c>
    </row>
    <row r="498" spans="1:16" x14ac:dyDescent="0.2">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_xlfn.XLOOKUP(Table1[[#This Row],[Customer ID]],customers!$A$1:$A$1001,customers!$I$1:$I$1001,,0)</f>
        <v>No</v>
      </c>
    </row>
    <row r="499" spans="1:16" x14ac:dyDescent="0.2">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_xlfn.XLOOKUP(Table1[[#This Row],[Customer ID]],customers!$A$1:$A$1001,customers!$I$1:$I$1001,,0)</f>
        <v>No</v>
      </c>
    </row>
    <row r="500" spans="1:16" x14ac:dyDescent="0.2">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_xlfn.XLOOKUP(Table1[[#This Row],[Customer ID]],customers!$A$1:$A$1001,customers!$I$1:$I$1001,,0)</f>
        <v>Yes</v>
      </c>
    </row>
    <row r="501" spans="1:16" x14ac:dyDescent="0.2">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_xlfn.XLOOKUP(Table1[[#This Row],[Customer ID]],customers!$A$1:$A$1001,customers!$I$1:$I$1001,,0)</f>
        <v>Yes</v>
      </c>
    </row>
    <row r="502" spans="1:16" x14ac:dyDescent="0.2">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_xlfn.XLOOKUP(Table1[[#This Row],[Customer ID]],customers!$A$1:$A$1001,customers!$I$1:$I$1001,,0)</f>
        <v>No</v>
      </c>
    </row>
    <row r="503" spans="1:16" x14ac:dyDescent="0.2">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_xlfn.XLOOKUP(Table1[[#This Row],[Customer ID]],customers!$A$1:$A$1001,customers!$I$1:$I$1001,,0)</f>
        <v>No</v>
      </c>
    </row>
    <row r="504" spans="1:16" x14ac:dyDescent="0.2">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_xlfn.XLOOKUP(Table1[[#This Row],[Customer ID]],customers!$A$1:$A$1001,customers!$I$1:$I$1001,,0)</f>
        <v>No</v>
      </c>
    </row>
    <row r="505" spans="1:16" x14ac:dyDescent="0.2">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_xlfn.XLOOKUP(Table1[[#This Row],[Customer ID]],customers!$A$1:$A$1001,customers!$I$1:$I$1001,,0)</f>
        <v>No</v>
      </c>
    </row>
    <row r="506" spans="1:16" x14ac:dyDescent="0.2">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_xlfn.XLOOKUP(Table1[[#This Row],[Customer ID]],customers!$A$1:$A$1001,customers!$I$1:$I$1001,,0)</f>
        <v>No</v>
      </c>
    </row>
    <row r="507" spans="1:16" x14ac:dyDescent="0.2">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_xlfn.XLOOKUP(Table1[[#This Row],[Customer ID]],customers!$A$1:$A$1001,customers!$I$1:$I$1001,,0)</f>
        <v>No</v>
      </c>
    </row>
    <row r="508" spans="1:16" x14ac:dyDescent="0.2">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_xlfn.XLOOKUP(Table1[[#This Row],[Customer ID]],customers!$A$1:$A$1001,customers!$I$1:$I$1001,,0)</f>
        <v>Yes</v>
      </c>
    </row>
    <row r="509" spans="1:16" x14ac:dyDescent="0.2">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_xlfn.XLOOKUP(Table1[[#This Row],[Customer ID]],customers!$A$1:$A$1001,customers!$I$1:$I$1001,,0)</f>
        <v>Yes</v>
      </c>
    </row>
    <row r="510" spans="1:16" x14ac:dyDescent="0.2">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_xlfn.XLOOKUP(Table1[[#This Row],[Customer ID]],customers!$A$1:$A$1001,customers!$I$1:$I$1001,,0)</f>
        <v>No</v>
      </c>
    </row>
    <row r="511" spans="1:16" x14ac:dyDescent="0.2">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_xlfn.XLOOKUP(Table1[[#This Row],[Customer ID]],customers!$A$1:$A$1001,customers!$I$1:$I$1001,,0)</f>
        <v>Yes</v>
      </c>
    </row>
    <row r="512" spans="1:16" x14ac:dyDescent="0.2">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_xlfn.XLOOKUP(Table1[[#This Row],[Customer ID]],customers!$A$1:$A$1001,customers!$I$1:$I$1001,,0)</f>
        <v>Yes</v>
      </c>
    </row>
    <row r="513" spans="1:16" x14ac:dyDescent="0.2">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_xlfn.XLOOKUP(Table1[[#This Row],[Customer ID]],customers!$A$1:$A$1001,customers!$I$1:$I$1001,,0)</f>
        <v>Yes</v>
      </c>
    </row>
    <row r="514" spans="1:16" x14ac:dyDescent="0.2">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_xlfn.XLOOKUP(Table1[[#This Row],[Customer ID]],customers!$A$1:$A$1001,customers!$I$1:$I$1001,,0)</f>
        <v>No</v>
      </c>
    </row>
    <row r="515" spans="1:16" x14ac:dyDescent="0.2">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 IF(I515="Exc","Excelsa", IF(I515= "Ara", "Arabica", IF(I515= "Lib","Liberica", ""))))</f>
        <v>Liberica</v>
      </c>
      <c r="O515" t="str">
        <f t="shared" ref="O515:O578" si="26">IF(J515= "M", "Medium",IF(J515= "L","Light", IF(J515= "D", "Dark")))</f>
        <v>Light</v>
      </c>
      <c r="P515" t="str">
        <f>_xlfn.XLOOKUP(Table1[[#This Row],[Customer ID]],customers!$A$1:$A$1001,customers!$I$1:$I$1001,,0)</f>
        <v>No</v>
      </c>
    </row>
    <row r="516" spans="1:16" x14ac:dyDescent="0.2">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_xlfn.XLOOKUP(Table1[[#This Row],[Customer ID]],customers!$A$1:$A$1001,customers!$I$1:$I$1001,,0)</f>
        <v>Yes</v>
      </c>
    </row>
    <row r="517" spans="1:16" x14ac:dyDescent="0.2">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_xlfn.XLOOKUP(Table1[[#This Row],[Customer ID]],customers!$A$1:$A$1001,customers!$I$1:$I$1001,,0)</f>
        <v>No</v>
      </c>
    </row>
    <row r="518" spans="1:16" x14ac:dyDescent="0.2">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_xlfn.XLOOKUP(Table1[[#This Row],[Customer ID]],customers!$A$1:$A$1001,customers!$I$1:$I$1001,,0)</f>
        <v>Yes</v>
      </c>
    </row>
    <row r="519" spans="1:16" x14ac:dyDescent="0.2">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_xlfn.XLOOKUP(Table1[[#This Row],[Customer ID]],customers!$A$1:$A$1001,customers!$I$1:$I$1001,,0)</f>
        <v>No</v>
      </c>
    </row>
    <row r="520" spans="1:16" x14ac:dyDescent="0.2">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_xlfn.XLOOKUP(Table1[[#This Row],[Customer ID]],customers!$A$1:$A$1001,customers!$I$1:$I$1001,,0)</f>
        <v>No</v>
      </c>
    </row>
    <row r="521" spans="1:16" x14ac:dyDescent="0.2">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_xlfn.XLOOKUP(Table1[[#This Row],[Customer ID]],customers!$A$1:$A$1001,customers!$I$1:$I$1001,,0)</f>
        <v>Yes</v>
      </c>
    </row>
    <row r="522" spans="1:16" x14ac:dyDescent="0.2">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_xlfn.XLOOKUP(Table1[[#This Row],[Customer ID]],customers!$A$1:$A$1001,customers!$I$1:$I$1001,,0)</f>
        <v>No</v>
      </c>
    </row>
    <row r="523" spans="1:16" x14ac:dyDescent="0.2">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_xlfn.XLOOKUP(Table1[[#This Row],[Customer ID]],customers!$A$1:$A$1001,customers!$I$1:$I$1001,,0)</f>
        <v>No</v>
      </c>
    </row>
    <row r="524" spans="1:16" x14ac:dyDescent="0.2">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_xlfn.XLOOKUP(Table1[[#This Row],[Customer ID]],customers!$A$1:$A$1001,customers!$I$1:$I$1001,,0)</f>
        <v>No</v>
      </c>
    </row>
    <row r="525" spans="1:16" x14ac:dyDescent="0.2">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_xlfn.XLOOKUP(Table1[[#This Row],[Customer ID]],customers!$A$1:$A$1001,customers!$I$1:$I$1001,,0)</f>
        <v>No</v>
      </c>
    </row>
    <row r="526" spans="1:16" x14ac:dyDescent="0.2">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_xlfn.XLOOKUP(Table1[[#This Row],[Customer ID]],customers!$A$1:$A$1001,customers!$I$1:$I$1001,,0)</f>
        <v>No</v>
      </c>
    </row>
    <row r="527" spans="1:16" x14ac:dyDescent="0.2">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_xlfn.XLOOKUP(Table1[[#This Row],[Customer ID]],customers!$A$1:$A$1001,customers!$I$1:$I$1001,,0)</f>
        <v>Yes</v>
      </c>
    </row>
    <row r="528" spans="1:16" x14ac:dyDescent="0.2">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_xlfn.XLOOKUP(Table1[[#This Row],[Customer ID]],customers!$A$1:$A$1001,customers!$I$1:$I$1001,,0)</f>
        <v>Yes</v>
      </c>
    </row>
    <row r="529" spans="1:16" x14ac:dyDescent="0.2">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_xlfn.XLOOKUP(Table1[[#This Row],[Customer ID]],customers!$A$1:$A$1001,customers!$I$1:$I$1001,,0)</f>
        <v>No</v>
      </c>
    </row>
    <row r="530" spans="1:16" x14ac:dyDescent="0.2">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_xlfn.XLOOKUP(Table1[[#This Row],[Customer ID]],customers!$A$1:$A$1001,customers!$I$1:$I$1001,,0)</f>
        <v>No</v>
      </c>
    </row>
    <row r="531" spans="1:16" x14ac:dyDescent="0.2">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_xlfn.XLOOKUP(Table1[[#This Row],[Customer ID]],customers!$A$1:$A$1001,customers!$I$1:$I$1001,,0)</f>
        <v>No</v>
      </c>
    </row>
    <row r="532" spans="1:16" x14ac:dyDescent="0.2">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_xlfn.XLOOKUP(Table1[[#This Row],[Customer ID]],customers!$A$1:$A$1001,customers!$I$1:$I$1001,,0)</f>
        <v>No</v>
      </c>
    </row>
    <row r="533" spans="1:16" x14ac:dyDescent="0.2">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_xlfn.XLOOKUP(Table1[[#This Row],[Customer ID]],customers!$A$1:$A$1001,customers!$I$1:$I$1001,,0)</f>
        <v>No</v>
      </c>
    </row>
    <row r="534" spans="1:16" x14ac:dyDescent="0.2">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_xlfn.XLOOKUP(Table1[[#This Row],[Customer ID]],customers!$A$1:$A$1001,customers!$I$1:$I$1001,,0)</f>
        <v>Yes</v>
      </c>
    </row>
    <row r="535" spans="1:16" x14ac:dyDescent="0.2">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_xlfn.XLOOKUP(Table1[[#This Row],[Customer ID]],customers!$A$1:$A$1001,customers!$I$1:$I$1001,,0)</f>
        <v>No</v>
      </c>
    </row>
    <row r="536" spans="1:16" x14ac:dyDescent="0.2">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_xlfn.XLOOKUP(Table1[[#This Row],[Customer ID]],customers!$A$1:$A$1001,customers!$I$1:$I$1001,,0)</f>
        <v>Yes</v>
      </c>
    </row>
    <row r="537" spans="1:16" x14ac:dyDescent="0.2">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_xlfn.XLOOKUP(Table1[[#This Row],[Customer ID]],customers!$A$1:$A$1001,customers!$I$1:$I$1001,,0)</f>
        <v>No</v>
      </c>
    </row>
    <row r="538" spans="1:16" x14ac:dyDescent="0.2">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_xlfn.XLOOKUP(Table1[[#This Row],[Customer ID]],customers!$A$1:$A$1001,customers!$I$1:$I$1001,,0)</f>
        <v>Yes</v>
      </c>
    </row>
    <row r="539" spans="1:16" x14ac:dyDescent="0.2">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_xlfn.XLOOKUP(Table1[[#This Row],[Customer ID]],customers!$A$1:$A$1001,customers!$I$1:$I$1001,,0)</f>
        <v>Yes</v>
      </c>
    </row>
    <row r="540" spans="1:16" x14ac:dyDescent="0.2">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_xlfn.XLOOKUP(Table1[[#This Row],[Customer ID]],customers!$A$1:$A$1001,customers!$I$1:$I$1001,,0)</f>
        <v>Yes</v>
      </c>
    </row>
    <row r="541" spans="1:16" x14ac:dyDescent="0.2">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_xlfn.XLOOKUP(Table1[[#This Row],[Customer ID]],customers!$A$1:$A$1001,customers!$I$1:$I$1001,,0)</f>
        <v>No</v>
      </c>
    </row>
    <row r="542" spans="1:16" x14ac:dyDescent="0.2">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_xlfn.XLOOKUP(Table1[[#This Row],[Customer ID]],customers!$A$1:$A$1001,customers!$I$1:$I$1001,,0)</f>
        <v>Yes</v>
      </c>
    </row>
    <row r="543" spans="1:16" x14ac:dyDescent="0.2">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_xlfn.XLOOKUP(Table1[[#This Row],[Customer ID]],customers!$A$1:$A$1001,customers!$I$1:$I$1001,,0)</f>
        <v>Yes</v>
      </c>
    </row>
    <row r="544" spans="1:16" x14ac:dyDescent="0.2">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_xlfn.XLOOKUP(Table1[[#This Row],[Customer ID]],customers!$A$1:$A$1001,customers!$I$1:$I$1001,,0)</f>
        <v>No</v>
      </c>
    </row>
    <row r="545" spans="1:16" x14ac:dyDescent="0.2">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_xlfn.XLOOKUP(Table1[[#This Row],[Customer ID]],customers!$A$1:$A$1001,customers!$I$1:$I$1001,,0)</f>
        <v>No</v>
      </c>
    </row>
    <row r="546" spans="1:16" x14ac:dyDescent="0.2">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_xlfn.XLOOKUP(Table1[[#This Row],[Customer ID]],customers!$A$1:$A$1001,customers!$I$1:$I$1001,,0)</f>
        <v>No</v>
      </c>
    </row>
    <row r="547" spans="1:16" x14ac:dyDescent="0.2">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_xlfn.XLOOKUP(Table1[[#This Row],[Customer ID]],customers!$A$1:$A$1001,customers!$I$1:$I$1001,,0)</f>
        <v>No</v>
      </c>
    </row>
    <row r="548" spans="1:16" x14ac:dyDescent="0.2">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_xlfn.XLOOKUP(Table1[[#This Row],[Customer ID]],customers!$A$1:$A$1001,customers!$I$1:$I$1001,,0)</f>
        <v>No</v>
      </c>
    </row>
    <row r="549" spans="1:16" x14ac:dyDescent="0.2">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_xlfn.XLOOKUP(Table1[[#This Row],[Customer ID]],customers!$A$1:$A$1001,customers!$I$1:$I$1001,,0)</f>
        <v>Yes</v>
      </c>
    </row>
    <row r="550" spans="1:16" x14ac:dyDescent="0.2">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_xlfn.XLOOKUP(Table1[[#This Row],[Customer ID]],customers!$A$1:$A$1001,customers!$I$1:$I$1001,,0)</f>
        <v>Yes</v>
      </c>
    </row>
    <row r="551" spans="1:16" x14ac:dyDescent="0.2">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_xlfn.XLOOKUP(Table1[[#This Row],[Customer ID]],customers!$A$1:$A$1001,customers!$I$1:$I$1001,,0)</f>
        <v>Yes</v>
      </c>
    </row>
    <row r="552" spans="1:16" x14ac:dyDescent="0.2">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_xlfn.XLOOKUP(Table1[[#This Row],[Customer ID]],customers!$A$1:$A$1001,customers!$I$1:$I$1001,,0)</f>
        <v>Yes</v>
      </c>
    </row>
    <row r="553" spans="1:16" x14ac:dyDescent="0.2">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_xlfn.XLOOKUP(Table1[[#This Row],[Customer ID]],customers!$A$1:$A$1001,customers!$I$1:$I$1001,,0)</f>
        <v>No</v>
      </c>
    </row>
    <row r="554" spans="1:16" x14ac:dyDescent="0.2">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_xlfn.XLOOKUP(Table1[[#This Row],[Customer ID]],customers!$A$1:$A$1001,customers!$I$1:$I$1001,,0)</f>
        <v>Yes</v>
      </c>
    </row>
    <row r="555" spans="1:16" x14ac:dyDescent="0.2">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_xlfn.XLOOKUP(Table1[[#This Row],[Customer ID]],customers!$A$1:$A$1001,customers!$I$1:$I$1001,,0)</f>
        <v>No</v>
      </c>
    </row>
    <row r="556" spans="1:16" x14ac:dyDescent="0.2">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_xlfn.XLOOKUP(Table1[[#This Row],[Customer ID]],customers!$A$1:$A$1001,customers!$I$1:$I$1001,,0)</f>
        <v>Yes</v>
      </c>
    </row>
    <row r="557" spans="1:16" x14ac:dyDescent="0.2">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_xlfn.XLOOKUP(Table1[[#This Row],[Customer ID]],customers!$A$1:$A$1001,customers!$I$1:$I$1001,,0)</f>
        <v>No</v>
      </c>
    </row>
    <row r="558" spans="1:16" x14ac:dyDescent="0.2">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_xlfn.XLOOKUP(Table1[[#This Row],[Customer ID]],customers!$A$1:$A$1001,customers!$I$1:$I$1001,,0)</f>
        <v>Yes</v>
      </c>
    </row>
    <row r="559" spans="1:16" x14ac:dyDescent="0.2">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_xlfn.XLOOKUP(Table1[[#This Row],[Customer ID]],customers!$A$1:$A$1001,customers!$I$1:$I$1001,,0)</f>
        <v>Yes</v>
      </c>
    </row>
    <row r="560" spans="1:16" x14ac:dyDescent="0.2">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_xlfn.XLOOKUP(Table1[[#This Row],[Customer ID]],customers!$A$1:$A$1001,customers!$I$1:$I$1001,,0)</f>
        <v>Yes</v>
      </c>
    </row>
    <row r="561" spans="1:16" x14ac:dyDescent="0.2">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_xlfn.XLOOKUP(Table1[[#This Row],[Customer ID]],customers!$A$1:$A$1001,customers!$I$1:$I$1001,,0)</f>
        <v>Yes</v>
      </c>
    </row>
    <row r="562" spans="1:16" x14ac:dyDescent="0.2">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_xlfn.XLOOKUP(Table1[[#This Row],[Customer ID]],customers!$A$1:$A$1001,customers!$I$1:$I$1001,,0)</f>
        <v>Yes</v>
      </c>
    </row>
    <row r="563" spans="1:16" x14ac:dyDescent="0.2">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_xlfn.XLOOKUP(Table1[[#This Row],[Customer ID]],customers!$A$1:$A$1001,customers!$I$1:$I$1001,,0)</f>
        <v>Yes</v>
      </c>
    </row>
    <row r="564" spans="1:16" x14ac:dyDescent="0.2">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_xlfn.XLOOKUP(Table1[[#This Row],[Customer ID]],customers!$A$1:$A$1001,customers!$I$1:$I$1001,,0)</f>
        <v>No</v>
      </c>
    </row>
    <row r="565" spans="1:16" x14ac:dyDescent="0.2">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_xlfn.XLOOKUP(Table1[[#This Row],[Customer ID]],customers!$A$1:$A$1001,customers!$I$1:$I$1001,,0)</f>
        <v>No</v>
      </c>
    </row>
    <row r="566" spans="1:16" x14ac:dyDescent="0.2">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_xlfn.XLOOKUP(Table1[[#This Row],[Customer ID]],customers!$A$1:$A$1001,customers!$I$1:$I$1001,,0)</f>
        <v>No</v>
      </c>
    </row>
    <row r="567" spans="1:16" x14ac:dyDescent="0.2">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_xlfn.XLOOKUP(Table1[[#This Row],[Customer ID]],customers!$A$1:$A$1001,customers!$I$1:$I$1001,,0)</f>
        <v>No</v>
      </c>
    </row>
    <row r="568" spans="1:16" x14ac:dyDescent="0.2">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_xlfn.XLOOKUP(Table1[[#This Row],[Customer ID]],customers!$A$1:$A$1001,customers!$I$1:$I$1001,,0)</f>
        <v>Yes</v>
      </c>
    </row>
    <row r="569" spans="1:16" x14ac:dyDescent="0.2">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_xlfn.XLOOKUP(Table1[[#This Row],[Customer ID]],customers!$A$1:$A$1001,customers!$I$1:$I$1001,,0)</f>
        <v>No</v>
      </c>
    </row>
    <row r="570" spans="1:16" x14ac:dyDescent="0.2">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_xlfn.XLOOKUP(Table1[[#This Row],[Customer ID]],customers!$A$1:$A$1001,customers!$I$1:$I$1001,,0)</f>
        <v>Yes</v>
      </c>
    </row>
    <row r="571" spans="1:16" x14ac:dyDescent="0.2">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_xlfn.XLOOKUP(Table1[[#This Row],[Customer ID]],customers!$A$1:$A$1001,customers!$I$1:$I$1001,,0)</f>
        <v>No</v>
      </c>
    </row>
    <row r="572" spans="1:16" x14ac:dyDescent="0.2">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_xlfn.XLOOKUP(Table1[[#This Row],[Customer ID]],customers!$A$1:$A$1001,customers!$I$1:$I$1001,,0)</f>
        <v>No</v>
      </c>
    </row>
    <row r="573" spans="1:16" x14ac:dyDescent="0.2">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_xlfn.XLOOKUP(Table1[[#This Row],[Customer ID]],customers!$A$1:$A$1001,customers!$I$1:$I$1001,,0)</f>
        <v>No</v>
      </c>
    </row>
    <row r="574" spans="1:16" x14ac:dyDescent="0.2">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_xlfn.XLOOKUP(Table1[[#This Row],[Customer ID]],customers!$A$1:$A$1001,customers!$I$1:$I$1001,,0)</f>
        <v>Yes</v>
      </c>
    </row>
    <row r="575" spans="1:16" x14ac:dyDescent="0.2">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_xlfn.XLOOKUP(Table1[[#This Row],[Customer ID]],customers!$A$1:$A$1001,customers!$I$1:$I$1001,,0)</f>
        <v>No</v>
      </c>
    </row>
    <row r="576" spans="1:16" x14ac:dyDescent="0.2">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_xlfn.XLOOKUP(Table1[[#This Row],[Customer ID]],customers!$A$1:$A$1001,customers!$I$1:$I$1001,,0)</f>
        <v>Yes</v>
      </c>
    </row>
    <row r="577" spans="1:16" x14ac:dyDescent="0.2">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_xlfn.XLOOKUP(Table1[[#This Row],[Customer ID]],customers!$A$1:$A$1001,customers!$I$1:$I$1001,,0)</f>
        <v>No</v>
      </c>
    </row>
    <row r="578" spans="1:16" x14ac:dyDescent="0.2">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_xlfn.XLOOKUP(Table1[[#This Row],[Customer ID]],customers!$A$1:$A$1001,customers!$I$1:$I$1001,,0)</f>
        <v>No</v>
      </c>
    </row>
    <row r="579" spans="1:16" x14ac:dyDescent="0.2">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 IF(I579="Exc","Excelsa", IF(I579= "Ara", "Arabica", IF(I579= "Lib","Liberica", ""))))</f>
        <v>Liberica</v>
      </c>
      <c r="O579" t="str">
        <f t="shared" ref="O579:O642" si="29">IF(J579= "M", "Medium",IF(J579= "L","Light", IF(J579= "D", "Dark")))</f>
        <v>Medium</v>
      </c>
      <c r="P579" t="str">
        <f>_xlfn.XLOOKUP(Table1[[#This Row],[Customer ID]],customers!$A$1:$A$1001,customers!$I$1:$I$1001,,0)</f>
        <v>No</v>
      </c>
    </row>
    <row r="580" spans="1:16" x14ac:dyDescent="0.2">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_xlfn.XLOOKUP(Table1[[#This Row],[Customer ID]],customers!$A$1:$A$1001,customers!$I$1:$I$1001,,0)</f>
        <v>No</v>
      </c>
    </row>
    <row r="581" spans="1:16" x14ac:dyDescent="0.2">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_xlfn.XLOOKUP(Table1[[#This Row],[Customer ID]],customers!$A$1:$A$1001,customers!$I$1:$I$1001,,0)</f>
        <v>No</v>
      </c>
    </row>
    <row r="582" spans="1:16" x14ac:dyDescent="0.2">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_xlfn.XLOOKUP(Table1[[#This Row],[Customer ID]],customers!$A$1:$A$1001,customers!$I$1:$I$1001,,0)</f>
        <v>Yes</v>
      </c>
    </row>
    <row r="583" spans="1:16" x14ac:dyDescent="0.2">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_xlfn.XLOOKUP(Table1[[#This Row],[Customer ID]],customers!$A$1:$A$1001,customers!$I$1:$I$1001,,0)</f>
        <v>Yes</v>
      </c>
    </row>
    <row r="584" spans="1:16" x14ac:dyDescent="0.2">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_xlfn.XLOOKUP(Table1[[#This Row],[Customer ID]],customers!$A$1:$A$1001,customers!$I$1:$I$1001,,0)</f>
        <v>No</v>
      </c>
    </row>
    <row r="585" spans="1:16" x14ac:dyDescent="0.2">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_xlfn.XLOOKUP(Table1[[#This Row],[Customer ID]],customers!$A$1:$A$1001,customers!$I$1:$I$1001,,0)</f>
        <v>Yes</v>
      </c>
    </row>
    <row r="586" spans="1:16" x14ac:dyDescent="0.2">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_xlfn.XLOOKUP(Table1[[#This Row],[Customer ID]],customers!$A$1:$A$1001,customers!$I$1:$I$1001,,0)</f>
        <v>No</v>
      </c>
    </row>
    <row r="587" spans="1:16" x14ac:dyDescent="0.2">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_xlfn.XLOOKUP(Table1[[#This Row],[Customer ID]],customers!$A$1:$A$1001,customers!$I$1:$I$1001,,0)</f>
        <v>Yes</v>
      </c>
    </row>
    <row r="588" spans="1:16" x14ac:dyDescent="0.2">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_xlfn.XLOOKUP(Table1[[#This Row],[Customer ID]],customers!$A$1:$A$1001,customers!$I$1:$I$1001,,0)</f>
        <v>No</v>
      </c>
    </row>
    <row r="589" spans="1:16" x14ac:dyDescent="0.2">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_xlfn.XLOOKUP(Table1[[#This Row],[Customer ID]],customers!$A$1:$A$1001,customers!$I$1:$I$1001,,0)</f>
        <v>Yes</v>
      </c>
    </row>
    <row r="590" spans="1:16" x14ac:dyDescent="0.2">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_xlfn.XLOOKUP(Table1[[#This Row],[Customer ID]],customers!$A$1:$A$1001,customers!$I$1:$I$1001,,0)</f>
        <v>Yes</v>
      </c>
    </row>
    <row r="591" spans="1:16" x14ac:dyDescent="0.2">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_xlfn.XLOOKUP(Table1[[#This Row],[Customer ID]],customers!$A$1:$A$1001,customers!$I$1:$I$1001,,0)</f>
        <v>No</v>
      </c>
    </row>
    <row r="592" spans="1:16" x14ac:dyDescent="0.2">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_xlfn.XLOOKUP(Table1[[#This Row],[Customer ID]],customers!$A$1:$A$1001,customers!$I$1:$I$1001,,0)</f>
        <v>Yes</v>
      </c>
    </row>
    <row r="593" spans="1:16" x14ac:dyDescent="0.2">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_xlfn.XLOOKUP(Table1[[#This Row],[Customer ID]],customers!$A$1:$A$1001,customers!$I$1:$I$1001,,0)</f>
        <v>Yes</v>
      </c>
    </row>
    <row r="594" spans="1:16" x14ac:dyDescent="0.2">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_xlfn.XLOOKUP(Table1[[#This Row],[Customer ID]],customers!$A$1:$A$1001,customers!$I$1:$I$1001,,0)</f>
        <v>No</v>
      </c>
    </row>
    <row r="595" spans="1:16" x14ac:dyDescent="0.2">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_xlfn.XLOOKUP(Table1[[#This Row],[Customer ID]],customers!$A$1:$A$1001,customers!$I$1:$I$1001,,0)</f>
        <v>Yes</v>
      </c>
    </row>
    <row r="596" spans="1:16" x14ac:dyDescent="0.2">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_xlfn.XLOOKUP(Table1[[#This Row],[Customer ID]],customers!$A$1:$A$1001,customers!$I$1:$I$1001,,0)</f>
        <v>No</v>
      </c>
    </row>
    <row r="597" spans="1:16" x14ac:dyDescent="0.2">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_xlfn.XLOOKUP(Table1[[#This Row],[Customer ID]],customers!$A$1:$A$1001,customers!$I$1:$I$1001,,0)</f>
        <v>No</v>
      </c>
    </row>
    <row r="598" spans="1:16" x14ac:dyDescent="0.2">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_xlfn.XLOOKUP(Table1[[#This Row],[Customer ID]],customers!$A$1:$A$1001,customers!$I$1:$I$1001,,0)</f>
        <v>No</v>
      </c>
    </row>
    <row r="599" spans="1:16" x14ac:dyDescent="0.2">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_xlfn.XLOOKUP(Table1[[#This Row],[Customer ID]],customers!$A$1:$A$1001,customers!$I$1:$I$1001,,0)</f>
        <v>Yes</v>
      </c>
    </row>
    <row r="600" spans="1:16" x14ac:dyDescent="0.2">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_xlfn.XLOOKUP(Table1[[#This Row],[Customer ID]],customers!$A$1:$A$1001,customers!$I$1:$I$1001,,0)</f>
        <v>Yes</v>
      </c>
    </row>
    <row r="601" spans="1:16" x14ac:dyDescent="0.2">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_xlfn.XLOOKUP(Table1[[#This Row],[Customer ID]],customers!$A$1:$A$1001,customers!$I$1:$I$1001,,0)</f>
        <v>Yes</v>
      </c>
    </row>
    <row r="602" spans="1:16" x14ac:dyDescent="0.2">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_xlfn.XLOOKUP(Table1[[#This Row],[Customer ID]],customers!$A$1:$A$1001,customers!$I$1:$I$1001,,0)</f>
        <v>No</v>
      </c>
    </row>
    <row r="603" spans="1:16" x14ac:dyDescent="0.2">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_xlfn.XLOOKUP(Table1[[#This Row],[Customer ID]],customers!$A$1:$A$1001,customers!$I$1:$I$1001,,0)</f>
        <v>Yes</v>
      </c>
    </row>
    <row r="604" spans="1:16" x14ac:dyDescent="0.2">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_xlfn.XLOOKUP(Table1[[#This Row],[Customer ID]],customers!$A$1:$A$1001,customers!$I$1:$I$1001,,0)</f>
        <v>Yes</v>
      </c>
    </row>
    <row r="605" spans="1:16" x14ac:dyDescent="0.2">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_xlfn.XLOOKUP(Table1[[#This Row],[Customer ID]],customers!$A$1:$A$1001,customers!$I$1:$I$1001,,0)</f>
        <v>No</v>
      </c>
    </row>
    <row r="606" spans="1:16" x14ac:dyDescent="0.2">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_xlfn.XLOOKUP(Table1[[#This Row],[Customer ID]],customers!$A$1:$A$1001,customers!$I$1:$I$1001,,0)</f>
        <v>No</v>
      </c>
    </row>
    <row r="607" spans="1:16" x14ac:dyDescent="0.2">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_xlfn.XLOOKUP(Table1[[#This Row],[Customer ID]],customers!$A$1:$A$1001,customers!$I$1:$I$1001,,0)</f>
        <v>Yes</v>
      </c>
    </row>
    <row r="608" spans="1:16" x14ac:dyDescent="0.2">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_xlfn.XLOOKUP(Table1[[#This Row],[Customer ID]],customers!$A$1:$A$1001,customers!$I$1:$I$1001,,0)</f>
        <v>Yes</v>
      </c>
    </row>
    <row r="609" spans="1:16" x14ac:dyDescent="0.2">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_xlfn.XLOOKUP(Table1[[#This Row],[Customer ID]],customers!$A$1:$A$1001,customers!$I$1:$I$1001,,0)</f>
        <v>Yes</v>
      </c>
    </row>
    <row r="610" spans="1:16" x14ac:dyDescent="0.2">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_xlfn.XLOOKUP(Table1[[#This Row],[Customer ID]],customers!$A$1:$A$1001,customers!$I$1:$I$1001,,0)</f>
        <v>No</v>
      </c>
    </row>
    <row r="611" spans="1:16" x14ac:dyDescent="0.2">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_xlfn.XLOOKUP(Table1[[#This Row],[Customer ID]],customers!$A$1:$A$1001,customers!$I$1:$I$1001,,0)</f>
        <v>Yes</v>
      </c>
    </row>
    <row r="612" spans="1:16" x14ac:dyDescent="0.2">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_xlfn.XLOOKUP(Table1[[#This Row],[Customer ID]],customers!$A$1:$A$1001,customers!$I$1:$I$1001,,0)</f>
        <v>No</v>
      </c>
    </row>
    <row r="613" spans="1:16" x14ac:dyDescent="0.2">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_xlfn.XLOOKUP(Table1[[#This Row],[Customer ID]],customers!$A$1:$A$1001,customers!$I$1:$I$1001,,0)</f>
        <v>No</v>
      </c>
    </row>
    <row r="614" spans="1:16" x14ac:dyDescent="0.2">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_xlfn.XLOOKUP(Table1[[#This Row],[Customer ID]],customers!$A$1:$A$1001,customers!$I$1:$I$1001,,0)</f>
        <v>No</v>
      </c>
    </row>
    <row r="615" spans="1:16" x14ac:dyDescent="0.2">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_xlfn.XLOOKUP(Table1[[#This Row],[Customer ID]],customers!$A$1:$A$1001,customers!$I$1:$I$1001,,0)</f>
        <v>No</v>
      </c>
    </row>
    <row r="616" spans="1:16" x14ac:dyDescent="0.2">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_xlfn.XLOOKUP(Table1[[#This Row],[Customer ID]],customers!$A$1:$A$1001,customers!$I$1:$I$1001,,0)</f>
        <v>Yes</v>
      </c>
    </row>
    <row r="617" spans="1:16" x14ac:dyDescent="0.2">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_xlfn.XLOOKUP(Table1[[#This Row],[Customer ID]],customers!$A$1:$A$1001,customers!$I$1:$I$1001,,0)</f>
        <v>Yes</v>
      </c>
    </row>
    <row r="618" spans="1:16" x14ac:dyDescent="0.2">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_xlfn.XLOOKUP(Table1[[#This Row],[Customer ID]],customers!$A$1:$A$1001,customers!$I$1:$I$1001,,0)</f>
        <v>No</v>
      </c>
    </row>
    <row r="619" spans="1:16" x14ac:dyDescent="0.2">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_xlfn.XLOOKUP(Table1[[#This Row],[Customer ID]],customers!$A$1:$A$1001,customers!$I$1:$I$1001,,0)</f>
        <v>No</v>
      </c>
    </row>
    <row r="620" spans="1:16" x14ac:dyDescent="0.2">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_xlfn.XLOOKUP(Table1[[#This Row],[Customer ID]],customers!$A$1:$A$1001,customers!$I$1:$I$1001,,0)</f>
        <v>Yes</v>
      </c>
    </row>
    <row r="621" spans="1:16" x14ac:dyDescent="0.2">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_xlfn.XLOOKUP(Table1[[#This Row],[Customer ID]],customers!$A$1:$A$1001,customers!$I$1:$I$1001,,0)</f>
        <v>Yes</v>
      </c>
    </row>
    <row r="622" spans="1:16" x14ac:dyDescent="0.2">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_xlfn.XLOOKUP(Table1[[#This Row],[Customer ID]],customers!$A$1:$A$1001,customers!$I$1:$I$1001,,0)</f>
        <v>No</v>
      </c>
    </row>
    <row r="623" spans="1:16" x14ac:dyDescent="0.2">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_xlfn.XLOOKUP(Table1[[#This Row],[Customer ID]],customers!$A$1:$A$1001,customers!$I$1:$I$1001,,0)</f>
        <v>No</v>
      </c>
    </row>
    <row r="624" spans="1:16" x14ac:dyDescent="0.2">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_xlfn.XLOOKUP(Table1[[#This Row],[Customer ID]],customers!$A$1:$A$1001,customers!$I$1:$I$1001,,0)</f>
        <v>No</v>
      </c>
    </row>
    <row r="625" spans="1:16" x14ac:dyDescent="0.2">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_xlfn.XLOOKUP(Table1[[#This Row],[Customer ID]],customers!$A$1:$A$1001,customers!$I$1:$I$1001,,0)</f>
        <v>No</v>
      </c>
    </row>
    <row r="626" spans="1:16" x14ac:dyDescent="0.2">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_xlfn.XLOOKUP(Table1[[#This Row],[Customer ID]],customers!$A$1:$A$1001,customers!$I$1:$I$1001,,0)</f>
        <v>Yes</v>
      </c>
    </row>
    <row r="627" spans="1:16" x14ac:dyDescent="0.2">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_xlfn.XLOOKUP(Table1[[#This Row],[Customer ID]],customers!$A$1:$A$1001,customers!$I$1:$I$1001,,0)</f>
        <v>No</v>
      </c>
    </row>
    <row r="628" spans="1:16" x14ac:dyDescent="0.2">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_xlfn.XLOOKUP(Table1[[#This Row],[Customer ID]],customers!$A$1:$A$1001,customers!$I$1:$I$1001,,0)</f>
        <v>No</v>
      </c>
    </row>
    <row r="629" spans="1:16" x14ac:dyDescent="0.2">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_xlfn.XLOOKUP(Table1[[#This Row],[Customer ID]],customers!$A$1:$A$1001,customers!$I$1:$I$1001,,0)</f>
        <v>Yes</v>
      </c>
    </row>
    <row r="630" spans="1:16" x14ac:dyDescent="0.2">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_xlfn.XLOOKUP(Table1[[#This Row],[Customer ID]],customers!$A$1:$A$1001,customers!$I$1:$I$1001,,0)</f>
        <v>Yes</v>
      </c>
    </row>
    <row r="631" spans="1:16" x14ac:dyDescent="0.2">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_xlfn.XLOOKUP(Table1[[#This Row],[Customer ID]],customers!$A$1:$A$1001,customers!$I$1:$I$1001,,0)</f>
        <v>Yes</v>
      </c>
    </row>
    <row r="632" spans="1:16" x14ac:dyDescent="0.2">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_xlfn.XLOOKUP(Table1[[#This Row],[Customer ID]],customers!$A$1:$A$1001,customers!$I$1:$I$1001,,0)</f>
        <v>Yes</v>
      </c>
    </row>
    <row r="633" spans="1:16" x14ac:dyDescent="0.2">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_xlfn.XLOOKUP(Table1[[#This Row],[Customer ID]],customers!$A$1:$A$1001,customers!$I$1:$I$1001,,0)</f>
        <v>Yes</v>
      </c>
    </row>
    <row r="634" spans="1:16" x14ac:dyDescent="0.2">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_xlfn.XLOOKUP(Table1[[#This Row],[Customer ID]],customers!$A$1:$A$1001,customers!$I$1:$I$1001,,0)</f>
        <v>No</v>
      </c>
    </row>
    <row r="635" spans="1:16" x14ac:dyDescent="0.2">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_xlfn.XLOOKUP(Table1[[#This Row],[Customer ID]],customers!$A$1:$A$1001,customers!$I$1:$I$1001,,0)</f>
        <v>No</v>
      </c>
    </row>
    <row r="636" spans="1:16" x14ac:dyDescent="0.2">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_xlfn.XLOOKUP(Table1[[#This Row],[Customer ID]],customers!$A$1:$A$1001,customers!$I$1:$I$1001,,0)</f>
        <v>No</v>
      </c>
    </row>
    <row r="637" spans="1:16" x14ac:dyDescent="0.2">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_xlfn.XLOOKUP(Table1[[#This Row],[Customer ID]],customers!$A$1:$A$1001,customers!$I$1:$I$1001,,0)</f>
        <v>Yes</v>
      </c>
    </row>
    <row r="638" spans="1:16" x14ac:dyDescent="0.2">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_xlfn.XLOOKUP(Table1[[#This Row],[Customer ID]],customers!$A$1:$A$1001,customers!$I$1:$I$1001,,0)</f>
        <v>Yes</v>
      </c>
    </row>
    <row r="639" spans="1:16" x14ac:dyDescent="0.2">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_xlfn.XLOOKUP(Table1[[#This Row],[Customer ID]],customers!$A$1:$A$1001,customers!$I$1:$I$1001,,0)</f>
        <v>Yes</v>
      </c>
    </row>
    <row r="640" spans="1:16" x14ac:dyDescent="0.2">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_xlfn.XLOOKUP(Table1[[#This Row],[Customer ID]],customers!$A$1:$A$1001,customers!$I$1:$I$1001,,0)</f>
        <v>Yes</v>
      </c>
    </row>
    <row r="641" spans="1:16" x14ac:dyDescent="0.2">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_xlfn.XLOOKUP(Table1[[#This Row],[Customer ID]],customers!$A$1:$A$1001,customers!$I$1:$I$1001,,0)</f>
        <v>Yes</v>
      </c>
    </row>
    <row r="642" spans="1:16" x14ac:dyDescent="0.2">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_xlfn.XLOOKUP(Table1[[#This Row],[Customer ID]],customers!$A$1:$A$1001,customers!$I$1:$I$1001,,0)</f>
        <v>No</v>
      </c>
    </row>
    <row r="643" spans="1:16" x14ac:dyDescent="0.2">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 IF(I643="Exc","Excelsa", IF(I643= "Ara", "Arabica", IF(I643= "Lib","Liberica", ""))))</f>
        <v>Robusta</v>
      </c>
      <c r="O643" t="str">
        <f t="shared" ref="O643:O706" si="32">IF(J643= "M", "Medium",IF(J643= "L","Light", IF(J643= "D", "Dark")))</f>
        <v>Light</v>
      </c>
      <c r="P643" t="str">
        <f>_xlfn.XLOOKUP(Table1[[#This Row],[Customer ID]],customers!$A$1:$A$1001,customers!$I$1:$I$1001,,0)</f>
        <v>Yes</v>
      </c>
    </row>
    <row r="644" spans="1:16" x14ac:dyDescent="0.2">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_xlfn.XLOOKUP(Table1[[#This Row],[Customer ID]],customers!$A$1:$A$1001,customers!$I$1:$I$1001,,0)</f>
        <v>Yes</v>
      </c>
    </row>
    <row r="645" spans="1:16" x14ac:dyDescent="0.2">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_xlfn.XLOOKUP(Table1[[#This Row],[Customer ID]],customers!$A$1:$A$1001,customers!$I$1:$I$1001,,0)</f>
        <v>Yes</v>
      </c>
    </row>
    <row r="646" spans="1:16" x14ac:dyDescent="0.2">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_xlfn.XLOOKUP(Table1[[#This Row],[Customer ID]],customers!$A$1:$A$1001,customers!$I$1:$I$1001,,0)</f>
        <v>No</v>
      </c>
    </row>
    <row r="647" spans="1:16" x14ac:dyDescent="0.2">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_xlfn.XLOOKUP(Table1[[#This Row],[Customer ID]],customers!$A$1:$A$1001,customers!$I$1:$I$1001,,0)</f>
        <v>Yes</v>
      </c>
    </row>
    <row r="648" spans="1:16" x14ac:dyDescent="0.2">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_xlfn.XLOOKUP(Table1[[#This Row],[Customer ID]],customers!$A$1:$A$1001,customers!$I$1:$I$1001,,0)</f>
        <v>Yes</v>
      </c>
    </row>
    <row r="649" spans="1:16" x14ac:dyDescent="0.2">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_xlfn.XLOOKUP(Table1[[#This Row],[Customer ID]],customers!$A$1:$A$1001,customers!$I$1:$I$1001,,0)</f>
        <v>Yes</v>
      </c>
    </row>
    <row r="650" spans="1:16" x14ac:dyDescent="0.2">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_xlfn.XLOOKUP(Table1[[#This Row],[Customer ID]],customers!$A$1:$A$1001,customers!$I$1:$I$1001,,0)</f>
        <v>No</v>
      </c>
    </row>
    <row r="651" spans="1:16" x14ac:dyDescent="0.2">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_xlfn.XLOOKUP(Table1[[#This Row],[Customer ID]],customers!$A$1:$A$1001,customers!$I$1:$I$1001,,0)</f>
        <v>No</v>
      </c>
    </row>
    <row r="652" spans="1:16" x14ac:dyDescent="0.2">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_xlfn.XLOOKUP(Table1[[#This Row],[Customer ID]],customers!$A$1:$A$1001,customers!$I$1:$I$1001,,0)</f>
        <v>Yes</v>
      </c>
    </row>
    <row r="653" spans="1:16" x14ac:dyDescent="0.2">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_xlfn.XLOOKUP(Table1[[#This Row],[Customer ID]],customers!$A$1:$A$1001,customers!$I$1:$I$1001,,0)</f>
        <v>No</v>
      </c>
    </row>
    <row r="654" spans="1:16" x14ac:dyDescent="0.2">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_xlfn.XLOOKUP(Table1[[#This Row],[Customer ID]],customers!$A$1:$A$1001,customers!$I$1:$I$1001,,0)</f>
        <v>No</v>
      </c>
    </row>
    <row r="655" spans="1:16" x14ac:dyDescent="0.2">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_xlfn.XLOOKUP(Table1[[#This Row],[Customer ID]],customers!$A$1:$A$1001,customers!$I$1:$I$1001,,0)</f>
        <v>No</v>
      </c>
    </row>
    <row r="656" spans="1:16" x14ac:dyDescent="0.2">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_xlfn.XLOOKUP(Table1[[#This Row],[Customer ID]],customers!$A$1:$A$1001,customers!$I$1:$I$1001,,0)</f>
        <v>No</v>
      </c>
    </row>
    <row r="657" spans="1:16" x14ac:dyDescent="0.2">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_xlfn.XLOOKUP(Table1[[#This Row],[Customer ID]],customers!$A$1:$A$1001,customers!$I$1:$I$1001,,0)</f>
        <v>Yes</v>
      </c>
    </row>
    <row r="658" spans="1:16" x14ac:dyDescent="0.2">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_xlfn.XLOOKUP(Table1[[#This Row],[Customer ID]],customers!$A$1:$A$1001,customers!$I$1:$I$1001,,0)</f>
        <v>No</v>
      </c>
    </row>
    <row r="659" spans="1:16" x14ac:dyDescent="0.2">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_xlfn.XLOOKUP(Table1[[#This Row],[Customer ID]],customers!$A$1:$A$1001,customers!$I$1:$I$1001,,0)</f>
        <v>Yes</v>
      </c>
    </row>
    <row r="660" spans="1:16" x14ac:dyDescent="0.2">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_xlfn.XLOOKUP(Table1[[#This Row],[Customer ID]],customers!$A$1:$A$1001,customers!$I$1:$I$1001,,0)</f>
        <v>Yes</v>
      </c>
    </row>
    <row r="661" spans="1:16" x14ac:dyDescent="0.2">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_xlfn.XLOOKUP(Table1[[#This Row],[Customer ID]],customers!$A$1:$A$1001,customers!$I$1:$I$1001,,0)</f>
        <v>Yes</v>
      </c>
    </row>
    <row r="662" spans="1:16" x14ac:dyDescent="0.2">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_xlfn.XLOOKUP(Table1[[#This Row],[Customer ID]],customers!$A$1:$A$1001,customers!$I$1:$I$1001,,0)</f>
        <v>No</v>
      </c>
    </row>
    <row r="663" spans="1:16" x14ac:dyDescent="0.2">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_xlfn.XLOOKUP(Table1[[#This Row],[Customer ID]],customers!$A$1:$A$1001,customers!$I$1:$I$1001,,0)</f>
        <v>Yes</v>
      </c>
    </row>
    <row r="664" spans="1:16" x14ac:dyDescent="0.2">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_xlfn.XLOOKUP(Table1[[#This Row],[Customer ID]],customers!$A$1:$A$1001,customers!$I$1:$I$1001,,0)</f>
        <v>No</v>
      </c>
    </row>
    <row r="665" spans="1:16" x14ac:dyDescent="0.2">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_xlfn.XLOOKUP(Table1[[#This Row],[Customer ID]],customers!$A$1:$A$1001,customers!$I$1:$I$1001,,0)</f>
        <v>No</v>
      </c>
    </row>
    <row r="666" spans="1:16" x14ac:dyDescent="0.2">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_xlfn.XLOOKUP(Table1[[#This Row],[Customer ID]],customers!$A$1:$A$1001,customers!$I$1:$I$1001,,0)</f>
        <v>No</v>
      </c>
    </row>
    <row r="667" spans="1:16" x14ac:dyDescent="0.2">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_xlfn.XLOOKUP(Table1[[#This Row],[Customer ID]],customers!$A$1:$A$1001,customers!$I$1:$I$1001,,0)</f>
        <v>No</v>
      </c>
    </row>
    <row r="668" spans="1:16" x14ac:dyDescent="0.2">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_xlfn.XLOOKUP(Table1[[#This Row],[Customer ID]],customers!$A$1:$A$1001,customers!$I$1:$I$1001,,0)</f>
        <v>No</v>
      </c>
    </row>
    <row r="669" spans="1:16" x14ac:dyDescent="0.2">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_xlfn.XLOOKUP(Table1[[#This Row],[Customer ID]],customers!$A$1:$A$1001,customers!$I$1:$I$1001,,0)</f>
        <v>No</v>
      </c>
    </row>
    <row r="670" spans="1:16" x14ac:dyDescent="0.2">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_xlfn.XLOOKUP(Table1[[#This Row],[Customer ID]],customers!$A$1:$A$1001,customers!$I$1:$I$1001,,0)</f>
        <v>Yes</v>
      </c>
    </row>
    <row r="671" spans="1:16" x14ac:dyDescent="0.2">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_xlfn.XLOOKUP(Table1[[#This Row],[Customer ID]],customers!$A$1:$A$1001,customers!$I$1:$I$1001,,0)</f>
        <v>No</v>
      </c>
    </row>
    <row r="672" spans="1:16" x14ac:dyDescent="0.2">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_xlfn.XLOOKUP(Table1[[#This Row],[Customer ID]],customers!$A$1:$A$1001,customers!$I$1:$I$1001,,0)</f>
        <v>Yes</v>
      </c>
    </row>
    <row r="673" spans="1:16" x14ac:dyDescent="0.2">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_xlfn.XLOOKUP(Table1[[#This Row],[Customer ID]],customers!$A$1:$A$1001,customers!$I$1:$I$1001,,0)</f>
        <v>No</v>
      </c>
    </row>
    <row r="674" spans="1:16" x14ac:dyDescent="0.2">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_xlfn.XLOOKUP(Table1[[#This Row],[Customer ID]],customers!$A$1:$A$1001,customers!$I$1:$I$1001,,0)</f>
        <v>Yes</v>
      </c>
    </row>
    <row r="675" spans="1:16" x14ac:dyDescent="0.2">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_xlfn.XLOOKUP(Table1[[#This Row],[Customer ID]],customers!$A$1:$A$1001,customers!$I$1:$I$1001,,0)</f>
        <v>Yes</v>
      </c>
    </row>
    <row r="676" spans="1:16" x14ac:dyDescent="0.2">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_xlfn.XLOOKUP(Table1[[#This Row],[Customer ID]],customers!$A$1:$A$1001,customers!$I$1:$I$1001,,0)</f>
        <v>Yes</v>
      </c>
    </row>
    <row r="677" spans="1:16" x14ac:dyDescent="0.2">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_xlfn.XLOOKUP(Table1[[#This Row],[Customer ID]],customers!$A$1:$A$1001,customers!$I$1:$I$1001,,0)</f>
        <v>Yes</v>
      </c>
    </row>
    <row r="678" spans="1:16" x14ac:dyDescent="0.2">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_xlfn.XLOOKUP(Table1[[#This Row],[Customer ID]],customers!$A$1:$A$1001,customers!$I$1:$I$1001,,0)</f>
        <v>No</v>
      </c>
    </row>
    <row r="679" spans="1:16" x14ac:dyDescent="0.2">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_xlfn.XLOOKUP(Table1[[#This Row],[Customer ID]],customers!$A$1:$A$1001,customers!$I$1:$I$1001,,0)</f>
        <v>No</v>
      </c>
    </row>
    <row r="680" spans="1:16" x14ac:dyDescent="0.2">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_xlfn.XLOOKUP(Table1[[#This Row],[Customer ID]],customers!$A$1:$A$1001,customers!$I$1:$I$1001,,0)</f>
        <v>Yes</v>
      </c>
    </row>
    <row r="681" spans="1:16" x14ac:dyDescent="0.2">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_xlfn.XLOOKUP(Table1[[#This Row],[Customer ID]],customers!$A$1:$A$1001,customers!$I$1:$I$1001,,0)</f>
        <v>No</v>
      </c>
    </row>
    <row r="682" spans="1:16" x14ac:dyDescent="0.2">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_xlfn.XLOOKUP(Table1[[#This Row],[Customer ID]],customers!$A$1:$A$1001,customers!$I$1:$I$1001,,0)</f>
        <v>No</v>
      </c>
    </row>
    <row r="683" spans="1:16" x14ac:dyDescent="0.2">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_xlfn.XLOOKUP(Table1[[#This Row],[Customer ID]],customers!$A$1:$A$1001,customers!$I$1:$I$1001,,0)</f>
        <v>Yes</v>
      </c>
    </row>
    <row r="684" spans="1:16" x14ac:dyDescent="0.2">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_xlfn.XLOOKUP(Table1[[#This Row],[Customer ID]],customers!$A$1:$A$1001,customers!$I$1:$I$1001,,0)</f>
        <v>Yes</v>
      </c>
    </row>
    <row r="685" spans="1:16" x14ac:dyDescent="0.2">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_xlfn.XLOOKUP(Table1[[#This Row],[Customer ID]],customers!$A$1:$A$1001,customers!$I$1:$I$1001,,0)</f>
        <v>No</v>
      </c>
    </row>
    <row r="686" spans="1:16" x14ac:dyDescent="0.2">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_xlfn.XLOOKUP(Table1[[#This Row],[Customer ID]],customers!$A$1:$A$1001,customers!$I$1:$I$1001,,0)</f>
        <v>No</v>
      </c>
    </row>
    <row r="687" spans="1:16" x14ac:dyDescent="0.2">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_xlfn.XLOOKUP(Table1[[#This Row],[Customer ID]],customers!$A$1:$A$1001,customers!$I$1:$I$1001,,0)</f>
        <v>Yes</v>
      </c>
    </row>
    <row r="688" spans="1:16" x14ac:dyDescent="0.2">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_xlfn.XLOOKUP(Table1[[#This Row],[Customer ID]],customers!$A$1:$A$1001,customers!$I$1:$I$1001,,0)</f>
        <v>Yes</v>
      </c>
    </row>
    <row r="689" spans="1:16" x14ac:dyDescent="0.2">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_xlfn.XLOOKUP(Table1[[#This Row],[Customer ID]],customers!$A$1:$A$1001,customers!$I$1:$I$1001,,0)</f>
        <v>No</v>
      </c>
    </row>
    <row r="690" spans="1:16" x14ac:dyDescent="0.2">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_xlfn.XLOOKUP(Table1[[#This Row],[Customer ID]],customers!$A$1:$A$1001,customers!$I$1:$I$1001,,0)</f>
        <v>No</v>
      </c>
    </row>
    <row r="691" spans="1:16" x14ac:dyDescent="0.2">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_xlfn.XLOOKUP(Table1[[#This Row],[Customer ID]],customers!$A$1:$A$1001,customers!$I$1:$I$1001,,0)</f>
        <v>No</v>
      </c>
    </row>
    <row r="692" spans="1:16" x14ac:dyDescent="0.2">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_xlfn.XLOOKUP(Table1[[#This Row],[Customer ID]],customers!$A$1:$A$1001,customers!$I$1:$I$1001,,0)</f>
        <v>No</v>
      </c>
    </row>
    <row r="693" spans="1:16" x14ac:dyDescent="0.2">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_xlfn.XLOOKUP(Table1[[#This Row],[Customer ID]],customers!$A$1:$A$1001,customers!$I$1:$I$1001,,0)</f>
        <v>No</v>
      </c>
    </row>
    <row r="694" spans="1:16" x14ac:dyDescent="0.2">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_xlfn.XLOOKUP(Table1[[#This Row],[Customer ID]],customers!$A$1:$A$1001,customers!$I$1:$I$1001,,0)</f>
        <v>No</v>
      </c>
    </row>
    <row r="695" spans="1:16" x14ac:dyDescent="0.2">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_xlfn.XLOOKUP(Table1[[#This Row],[Customer ID]],customers!$A$1:$A$1001,customers!$I$1:$I$1001,,0)</f>
        <v>Yes</v>
      </c>
    </row>
    <row r="696" spans="1:16" x14ac:dyDescent="0.2">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_xlfn.XLOOKUP(Table1[[#This Row],[Customer ID]],customers!$A$1:$A$1001,customers!$I$1:$I$1001,,0)</f>
        <v>No</v>
      </c>
    </row>
    <row r="697" spans="1:16" x14ac:dyDescent="0.2">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_xlfn.XLOOKUP(Table1[[#This Row],[Customer ID]],customers!$A$1:$A$1001,customers!$I$1:$I$1001,,0)</f>
        <v>Yes</v>
      </c>
    </row>
    <row r="698" spans="1:16" x14ac:dyDescent="0.2">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_xlfn.XLOOKUP(Table1[[#This Row],[Customer ID]],customers!$A$1:$A$1001,customers!$I$1:$I$1001,,0)</f>
        <v>No</v>
      </c>
    </row>
    <row r="699" spans="1:16" x14ac:dyDescent="0.2">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_xlfn.XLOOKUP(Table1[[#This Row],[Customer ID]],customers!$A$1:$A$1001,customers!$I$1:$I$1001,,0)</f>
        <v>No</v>
      </c>
    </row>
    <row r="700" spans="1:16" x14ac:dyDescent="0.2">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_xlfn.XLOOKUP(Table1[[#This Row],[Customer ID]],customers!$A$1:$A$1001,customers!$I$1:$I$1001,,0)</f>
        <v>No</v>
      </c>
    </row>
    <row r="701" spans="1:16" x14ac:dyDescent="0.2">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_xlfn.XLOOKUP(Table1[[#This Row],[Customer ID]],customers!$A$1:$A$1001,customers!$I$1:$I$1001,,0)</f>
        <v>Yes</v>
      </c>
    </row>
    <row r="702" spans="1:16" x14ac:dyDescent="0.2">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_xlfn.XLOOKUP(Table1[[#This Row],[Customer ID]],customers!$A$1:$A$1001,customers!$I$1:$I$1001,,0)</f>
        <v>No</v>
      </c>
    </row>
    <row r="703" spans="1:16" x14ac:dyDescent="0.2">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_xlfn.XLOOKUP(Table1[[#This Row],[Customer ID]],customers!$A$1:$A$1001,customers!$I$1:$I$1001,,0)</f>
        <v>Yes</v>
      </c>
    </row>
    <row r="704" spans="1:16" x14ac:dyDescent="0.2">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_xlfn.XLOOKUP(Table1[[#This Row],[Customer ID]],customers!$A$1:$A$1001,customers!$I$1:$I$1001,,0)</f>
        <v>Yes</v>
      </c>
    </row>
    <row r="705" spans="1:16" x14ac:dyDescent="0.2">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_xlfn.XLOOKUP(Table1[[#This Row],[Customer ID]],customers!$A$1:$A$1001,customers!$I$1:$I$1001,,0)</f>
        <v>Yes</v>
      </c>
    </row>
    <row r="706" spans="1:16" x14ac:dyDescent="0.2">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_xlfn.XLOOKUP(Table1[[#This Row],[Customer ID]],customers!$A$1:$A$1001,customers!$I$1:$I$1001,,0)</f>
        <v>Yes</v>
      </c>
    </row>
    <row r="707" spans="1:16" x14ac:dyDescent="0.2">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 IF(I707="Exc","Excelsa", IF(I707= "Ara", "Arabica", IF(I707= "Lib","Liberica", ""))))</f>
        <v>Excelsa</v>
      </c>
      <c r="O707" t="str">
        <f t="shared" ref="O707:O770" si="35">IF(J707= "M", "Medium",IF(J707= "L","Light", IF(J707= "D", "Dark")))</f>
        <v>Light</v>
      </c>
      <c r="P707" t="str">
        <f>_xlfn.XLOOKUP(Table1[[#This Row],[Customer ID]],customers!$A$1:$A$1001,customers!$I$1:$I$1001,,0)</f>
        <v>No</v>
      </c>
    </row>
    <row r="708" spans="1:16" x14ac:dyDescent="0.2">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_xlfn.XLOOKUP(Table1[[#This Row],[Customer ID]],customers!$A$1:$A$1001,customers!$I$1:$I$1001,,0)</f>
        <v>No</v>
      </c>
    </row>
    <row r="709" spans="1:16" x14ac:dyDescent="0.2">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_xlfn.XLOOKUP(Table1[[#This Row],[Customer ID]],customers!$A$1:$A$1001,customers!$I$1:$I$1001,,0)</f>
        <v>No</v>
      </c>
    </row>
    <row r="710" spans="1:16" x14ac:dyDescent="0.2">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_xlfn.XLOOKUP(Table1[[#This Row],[Customer ID]],customers!$A$1:$A$1001,customers!$I$1:$I$1001,,0)</f>
        <v>Yes</v>
      </c>
    </row>
    <row r="711" spans="1:16" x14ac:dyDescent="0.2">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_xlfn.XLOOKUP(Table1[[#This Row],[Customer ID]],customers!$A$1:$A$1001,customers!$I$1:$I$1001,,0)</f>
        <v>Yes</v>
      </c>
    </row>
    <row r="712" spans="1:16" x14ac:dyDescent="0.2">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_xlfn.XLOOKUP(Table1[[#This Row],[Customer ID]],customers!$A$1:$A$1001,customers!$I$1:$I$1001,,0)</f>
        <v>No</v>
      </c>
    </row>
    <row r="713" spans="1:16" x14ac:dyDescent="0.2">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_xlfn.XLOOKUP(Table1[[#This Row],[Customer ID]],customers!$A$1:$A$1001,customers!$I$1:$I$1001,,0)</f>
        <v>No</v>
      </c>
    </row>
    <row r="714" spans="1:16" x14ac:dyDescent="0.2">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_xlfn.XLOOKUP(Table1[[#This Row],[Customer ID]],customers!$A$1:$A$1001,customers!$I$1:$I$1001,,0)</f>
        <v>No</v>
      </c>
    </row>
    <row r="715" spans="1:16" x14ac:dyDescent="0.2">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_xlfn.XLOOKUP(Table1[[#This Row],[Customer ID]],customers!$A$1:$A$1001,customers!$I$1:$I$1001,,0)</f>
        <v>No</v>
      </c>
    </row>
    <row r="716" spans="1:16" x14ac:dyDescent="0.2">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_xlfn.XLOOKUP(Table1[[#This Row],[Customer ID]],customers!$A$1:$A$1001,customers!$I$1:$I$1001,,0)</f>
        <v>Yes</v>
      </c>
    </row>
    <row r="717" spans="1:16" x14ac:dyDescent="0.2">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_xlfn.XLOOKUP(Table1[[#This Row],[Customer ID]],customers!$A$1:$A$1001,customers!$I$1:$I$1001,,0)</f>
        <v>No</v>
      </c>
    </row>
    <row r="718" spans="1:16" x14ac:dyDescent="0.2">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_xlfn.XLOOKUP(Table1[[#This Row],[Customer ID]],customers!$A$1:$A$1001,customers!$I$1:$I$1001,,0)</f>
        <v>No</v>
      </c>
    </row>
    <row r="719" spans="1:16" x14ac:dyDescent="0.2">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_xlfn.XLOOKUP(Table1[[#This Row],[Customer ID]],customers!$A$1:$A$1001,customers!$I$1:$I$1001,,0)</f>
        <v>No</v>
      </c>
    </row>
    <row r="720" spans="1:16" x14ac:dyDescent="0.2">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_xlfn.XLOOKUP(Table1[[#This Row],[Customer ID]],customers!$A$1:$A$1001,customers!$I$1:$I$1001,,0)</f>
        <v>No</v>
      </c>
    </row>
    <row r="721" spans="1:16" x14ac:dyDescent="0.2">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_xlfn.XLOOKUP(Table1[[#This Row],[Customer ID]],customers!$A$1:$A$1001,customers!$I$1:$I$1001,,0)</f>
        <v>Yes</v>
      </c>
    </row>
    <row r="722" spans="1:16" x14ac:dyDescent="0.2">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_xlfn.XLOOKUP(Table1[[#This Row],[Customer ID]],customers!$A$1:$A$1001,customers!$I$1:$I$1001,,0)</f>
        <v>Yes</v>
      </c>
    </row>
    <row r="723" spans="1:16" x14ac:dyDescent="0.2">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_xlfn.XLOOKUP(Table1[[#This Row],[Customer ID]],customers!$A$1:$A$1001,customers!$I$1:$I$1001,,0)</f>
        <v>Yes</v>
      </c>
    </row>
    <row r="724" spans="1:16" x14ac:dyDescent="0.2">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_xlfn.XLOOKUP(Table1[[#This Row],[Customer ID]],customers!$A$1:$A$1001,customers!$I$1:$I$1001,,0)</f>
        <v>No</v>
      </c>
    </row>
    <row r="725" spans="1:16" x14ac:dyDescent="0.2">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_xlfn.XLOOKUP(Table1[[#This Row],[Customer ID]],customers!$A$1:$A$1001,customers!$I$1:$I$1001,,0)</f>
        <v>No</v>
      </c>
    </row>
    <row r="726" spans="1:16" x14ac:dyDescent="0.2">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_xlfn.XLOOKUP(Table1[[#This Row],[Customer ID]],customers!$A$1:$A$1001,customers!$I$1:$I$1001,,0)</f>
        <v>Yes</v>
      </c>
    </row>
    <row r="727" spans="1:16" x14ac:dyDescent="0.2">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_xlfn.XLOOKUP(Table1[[#This Row],[Customer ID]],customers!$A$1:$A$1001,customers!$I$1:$I$1001,,0)</f>
        <v>No</v>
      </c>
    </row>
    <row r="728" spans="1:16" x14ac:dyDescent="0.2">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_xlfn.XLOOKUP(Table1[[#This Row],[Customer ID]],customers!$A$1:$A$1001,customers!$I$1:$I$1001,,0)</f>
        <v>No</v>
      </c>
    </row>
    <row r="729" spans="1:16" x14ac:dyDescent="0.2">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_xlfn.XLOOKUP(Table1[[#This Row],[Customer ID]],customers!$A$1:$A$1001,customers!$I$1:$I$1001,,0)</f>
        <v>Yes</v>
      </c>
    </row>
    <row r="730" spans="1:16" x14ac:dyDescent="0.2">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_xlfn.XLOOKUP(Table1[[#This Row],[Customer ID]],customers!$A$1:$A$1001,customers!$I$1:$I$1001,,0)</f>
        <v>Yes</v>
      </c>
    </row>
    <row r="731" spans="1:16" x14ac:dyDescent="0.2">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_xlfn.XLOOKUP(Table1[[#This Row],[Customer ID]],customers!$A$1:$A$1001,customers!$I$1:$I$1001,,0)</f>
        <v>No</v>
      </c>
    </row>
    <row r="732" spans="1:16" x14ac:dyDescent="0.2">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_xlfn.XLOOKUP(Table1[[#This Row],[Customer ID]],customers!$A$1:$A$1001,customers!$I$1:$I$1001,,0)</f>
        <v>No</v>
      </c>
    </row>
    <row r="733" spans="1:16" x14ac:dyDescent="0.2">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_xlfn.XLOOKUP(Table1[[#This Row],[Customer ID]],customers!$A$1:$A$1001,customers!$I$1:$I$1001,,0)</f>
        <v>Yes</v>
      </c>
    </row>
    <row r="734" spans="1:16" x14ac:dyDescent="0.2">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_xlfn.XLOOKUP(Table1[[#This Row],[Customer ID]],customers!$A$1:$A$1001,customers!$I$1:$I$1001,,0)</f>
        <v>No</v>
      </c>
    </row>
    <row r="735" spans="1:16" x14ac:dyDescent="0.2">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_xlfn.XLOOKUP(Table1[[#This Row],[Customer ID]],customers!$A$1:$A$1001,customers!$I$1:$I$1001,,0)</f>
        <v>Yes</v>
      </c>
    </row>
    <row r="736" spans="1:16" x14ac:dyDescent="0.2">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_xlfn.XLOOKUP(Table1[[#This Row],[Customer ID]],customers!$A$1:$A$1001,customers!$I$1:$I$1001,,0)</f>
        <v>No</v>
      </c>
    </row>
    <row r="737" spans="1:16" x14ac:dyDescent="0.2">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_xlfn.XLOOKUP(Table1[[#This Row],[Customer ID]],customers!$A$1:$A$1001,customers!$I$1:$I$1001,,0)</f>
        <v>No</v>
      </c>
    </row>
    <row r="738" spans="1:16" x14ac:dyDescent="0.2">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_xlfn.XLOOKUP(Table1[[#This Row],[Customer ID]],customers!$A$1:$A$1001,customers!$I$1:$I$1001,,0)</f>
        <v>Yes</v>
      </c>
    </row>
    <row r="739" spans="1:16" x14ac:dyDescent="0.2">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_xlfn.XLOOKUP(Table1[[#This Row],[Customer ID]],customers!$A$1:$A$1001,customers!$I$1:$I$1001,,0)</f>
        <v>No</v>
      </c>
    </row>
    <row r="740" spans="1:16" x14ac:dyDescent="0.2">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_xlfn.XLOOKUP(Table1[[#This Row],[Customer ID]],customers!$A$1:$A$1001,customers!$I$1:$I$1001,,0)</f>
        <v>No</v>
      </c>
    </row>
    <row r="741" spans="1:16" x14ac:dyDescent="0.2">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_xlfn.XLOOKUP(Table1[[#This Row],[Customer ID]],customers!$A$1:$A$1001,customers!$I$1:$I$1001,,0)</f>
        <v>No</v>
      </c>
    </row>
    <row r="742" spans="1:16" x14ac:dyDescent="0.2">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_xlfn.XLOOKUP(Table1[[#This Row],[Customer ID]],customers!$A$1:$A$1001,customers!$I$1:$I$1001,,0)</f>
        <v>No</v>
      </c>
    </row>
    <row r="743" spans="1:16" x14ac:dyDescent="0.2">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_xlfn.XLOOKUP(Table1[[#This Row],[Customer ID]],customers!$A$1:$A$1001,customers!$I$1:$I$1001,,0)</f>
        <v>No</v>
      </c>
    </row>
    <row r="744" spans="1:16" x14ac:dyDescent="0.2">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_xlfn.XLOOKUP(Table1[[#This Row],[Customer ID]],customers!$A$1:$A$1001,customers!$I$1:$I$1001,,0)</f>
        <v>No</v>
      </c>
    </row>
    <row r="745" spans="1:16" x14ac:dyDescent="0.2">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_xlfn.XLOOKUP(Table1[[#This Row],[Customer ID]],customers!$A$1:$A$1001,customers!$I$1:$I$1001,,0)</f>
        <v>No</v>
      </c>
    </row>
    <row r="746" spans="1:16" x14ac:dyDescent="0.2">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_xlfn.XLOOKUP(Table1[[#This Row],[Customer ID]],customers!$A$1:$A$1001,customers!$I$1:$I$1001,,0)</f>
        <v>Yes</v>
      </c>
    </row>
    <row r="747" spans="1:16" x14ac:dyDescent="0.2">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_xlfn.XLOOKUP(Table1[[#This Row],[Customer ID]],customers!$A$1:$A$1001,customers!$I$1:$I$1001,,0)</f>
        <v>No</v>
      </c>
    </row>
    <row r="748" spans="1:16" x14ac:dyDescent="0.2">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_xlfn.XLOOKUP(Table1[[#This Row],[Customer ID]],customers!$A$1:$A$1001,customers!$I$1:$I$1001,,0)</f>
        <v>No</v>
      </c>
    </row>
    <row r="749" spans="1:16" x14ac:dyDescent="0.2">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_xlfn.XLOOKUP(Table1[[#This Row],[Customer ID]],customers!$A$1:$A$1001,customers!$I$1:$I$1001,,0)</f>
        <v>Yes</v>
      </c>
    </row>
    <row r="750" spans="1:16" x14ac:dyDescent="0.2">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_xlfn.XLOOKUP(Table1[[#This Row],[Customer ID]],customers!$A$1:$A$1001,customers!$I$1:$I$1001,,0)</f>
        <v>No</v>
      </c>
    </row>
    <row r="751" spans="1:16" x14ac:dyDescent="0.2">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_xlfn.XLOOKUP(Table1[[#This Row],[Customer ID]],customers!$A$1:$A$1001,customers!$I$1:$I$1001,,0)</f>
        <v>Yes</v>
      </c>
    </row>
    <row r="752" spans="1:16" x14ac:dyDescent="0.2">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_xlfn.XLOOKUP(Table1[[#This Row],[Customer ID]],customers!$A$1:$A$1001,customers!$I$1:$I$1001,,0)</f>
        <v>Yes</v>
      </c>
    </row>
    <row r="753" spans="1:16" x14ac:dyDescent="0.2">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_xlfn.XLOOKUP(Table1[[#This Row],[Customer ID]],customers!$A$1:$A$1001,customers!$I$1:$I$1001,,0)</f>
        <v>No</v>
      </c>
    </row>
    <row r="754" spans="1:16" x14ac:dyDescent="0.2">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_xlfn.XLOOKUP(Table1[[#This Row],[Customer ID]],customers!$A$1:$A$1001,customers!$I$1:$I$1001,,0)</f>
        <v>Yes</v>
      </c>
    </row>
    <row r="755" spans="1:16" x14ac:dyDescent="0.2">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_xlfn.XLOOKUP(Table1[[#This Row],[Customer ID]],customers!$A$1:$A$1001,customers!$I$1:$I$1001,,0)</f>
        <v>No</v>
      </c>
    </row>
    <row r="756" spans="1:16" x14ac:dyDescent="0.2">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_xlfn.XLOOKUP(Table1[[#This Row],[Customer ID]],customers!$A$1:$A$1001,customers!$I$1:$I$1001,,0)</f>
        <v>No</v>
      </c>
    </row>
    <row r="757" spans="1:16" x14ac:dyDescent="0.2">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_xlfn.XLOOKUP(Table1[[#This Row],[Customer ID]],customers!$A$1:$A$1001,customers!$I$1:$I$1001,,0)</f>
        <v>No</v>
      </c>
    </row>
    <row r="758" spans="1:16" x14ac:dyDescent="0.2">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_xlfn.XLOOKUP(Table1[[#This Row],[Customer ID]],customers!$A$1:$A$1001,customers!$I$1:$I$1001,,0)</f>
        <v>Yes</v>
      </c>
    </row>
    <row r="759" spans="1:16" x14ac:dyDescent="0.2">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_xlfn.XLOOKUP(Table1[[#This Row],[Customer ID]],customers!$A$1:$A$1001,customers!$I$1:$I$1001,,0)</f>
        <v>Yes</v>
      </c>
    </row>
    <row r="760" spans="1:16" x14ac:dyDescent="0.2">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_xlfn.XLOOKUP(Table1[[#This Row],[Customer ID]],customers!$A$1:$A$1001,customers!$I$1:$I$1001,,0)</f>
        <v>No</v>
      </c>
    </row>
    <row r="761" spans="1:16" x14ac:dyDescent="0.2">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_xlfn.XLOOKUP(Table1[[#This Row],[Customer ID]],customers!$A$1:$A$1001,customers!$I$1:$I$1001,,0)</f>
        <v>Yes</v>
      </c>
    </row>
    <row r="762" spans="1:16" x14ac:dyDescent="0.2">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_xlfn.XLOOKUP(Table1[[#This Row],[Customer ID]],customers!$A$1:$A$1001,customers!$I$1:$I$1001,,0)</f>
        <v>No</v>
      </c>
    </row>
    <row r="763" spans="1:16" x14ac:dyDescent="0.2">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_xlfn.XLOOKUP(Table1[[#This Row],[Customer ID]],customers!$A$1:$A$1001,customers!$I$1:$I$1001,,0)</f>
        <v>Yes</v>
      </c>
    </row>
    <row r="764" spans="1:16" x14ac:dyDescent="0.2">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_xlfn.XLOOKUP(Table1[[#This Row],[Customer ID]],customers!$A$1:$A$1001,customers!$I$1:$I$1001,,0)</f>
        <v>No</v>
      </c>
    </row>
    <row r="765" spans="1:16" x14ac:dyDescent="0.2">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_xlfn.XLOOKUP(Table1[[#This Row],[Customer ID]],customers!$A$1:$A$1001,customers!$I$1:$I$1001,,0)</f>
        <v>No</v>
      </c>
    </row>
    <row r="766" spans="1:16" x14ac:dyDescent="0.2">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_xlfn.XLOOKUP(Table1[[#This Row],[Customer ID]],customers!$A$1:$A$1001,customers!$I$1:$I$1001,,0)</f>
        <v>Yes</v>
      </c>
    </row>
    <row r="767" spans="1:16" x14ac:dyDescent="0.2">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_xlfn.XLOOKUP(Table1[[#This Row],[Customer ID]],customers!$A$1:$A$1001,customers!$I$1:$I$1001,,0)</f>
        <v>Yes</v>
      </c>
    </row>
    <row r="768" spans="1:16" x14ac:dyDescent="0.2">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_xlfn.XLOOKUP(Table1[[#This Row],[Customer ID]],customers!$A$1:$A$1001,customers!$I$1:$I$1001,,0)</f>
        <v>Yes</v>
      </c>
    </row>
    <row r="769" spans="1:16" x14ac:dyDescent="0.2">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_xlfn.XLOOKUP(Table1[[#This Row],[Customer ID]],customers!$A$1:$A$1001,customers!$I$1:$I$1001,,0)</f>
        <v>No</v>
      </c>
    </row>
    <row r="770" spans="1:16" x14ac:dyDescent="0.2">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_xlfn.XLOOKUP(Table1[[#This Row],[Customer ID]],customers!$A$1:$A$1001,customers!$I$1:$I$1001,,0)</f>
        <v>No</v>
      </c>
    </row>
    <row r="771" spans="1:16" x14ac:dyDescent="0.2">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 IF(I771="Exc","Excelsa", IF(I771= "Ara", "Arabica", IF(I771= "Lib","Liberica", ""))))</f>
        <v>Robusta</v>
      </c>
      <c r="O771" t="str">
        <f t="shared" ref="O771:O834" si="38">IF(J771= "M", "Medium",IF(J771= "L","Light", IF(J771= "D", "Dark")))</f>
        <v>Medium</v>
      </c>
      <c r="P771" t="str">
        <f>_xlfn.XLOOKUP(Table1[[#This Row],[Customer ID]],customers!$A$1:$A$1001,customers!$I$1:$I$1001,,0)</f>
        <v>No</v>
      </c>
    </row>
    <row r="772" spans="1:16" x14ac:dyDescent="0.2">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_xlfn.XLOOKUP(Table1[[#This Row],[Customer ID]],customers!$A$1:$A$1001,customers!$I$1:$I$1001,,0)</f>
        <v>No</v>
      </c>
    </row>
    <row r="773" spans="1:16" x14ac:dyDescent="0.2">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_xlfn.XLOOKUP(Table1[[#This Row],[Customer ID]],customers!$A$1:$A$1001,customers!$I$1:$I$1001,,0)</f>
        <v>No</v>
      </c>
    </row>
    <row r="774" spans="1:16" x14ac:dyDescent="0.2">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_xlfn.XLOOKUP(Table1[[#This Row],[Customer ID]],customers!$A$1:$A$1001,customers!$I$1:$I$1001,,0)</f>
        <v>No</v>
      </c>
    </row>
    <row r="775" spans="1:16" x14ac:dyDescent="0.2">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_xlfn.XLOOKUP(Table1[[#This Row],[Customer ID]],customers!$A$1:$A$1001,customers!$I$1:$I$1001,,0)</f>
        <v>No</v>
      </c>
    </row>
    <row r="776" spans="1:16" x14ac:dyDescent="0.2">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_xlfn.XLOOKUP(Table1[[#This Row],[Customer ID]],customers!$A$1:$A$1001,customers!$I$1:$I$1001,,0)</f>
        <v>Yes</v>
      </c>
    </row>
    <row r="777" spans="1:16" x14ac:dyDescent="0.2">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_xlfn.XLOOKUP(Table1[[#This Row],[Customer ID]],customers!$A$1:$A$1001,customers!$I$1:$I$1001,,0)</f>
        <v>Yes</v>
      </c>
    </row>
    <row r="778" spans="1:16" x14ac:dyDescent="0.2">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_xlfn.XLOOKUP(Table1[[#This Row],[Customer ID]],customers!$A$1:$A$1001,customers!$I$1:$I$1001,,0)</f>
        <v>No</v>
      </c>
    </row>
    <row r="779" spans="1:16" x14ac:dyDescent="0.2">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_xlfn.XLOOKUP(Table1[[#This Row],[Customer ID]],customers!$A$1:$A$1001,customers!$I$1:$I$1001,,0)</f>
        <v>No</v>
      </c>
    </row>
    <row r="780" spans="1:16" x14ac:dyDescent="0.2">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_xlfn.XLOOKUP(Table1[[#This Row],[Customer ID]],customers!$A$1:$A$1001,customers!$I$1:$I$1001,,0)</f>
        <v>Yes</v>
      </c>
    </row>
    <row r="781" spans="1:16" x14ac:dyDescent="0.2">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_xlfn.XLOOKUP(Table1[[#This Row],[Customer ID]],customers!$A$1:$A$1001,customers!$I$1:$I$1001,,0)</f>
        <v>Yes</v>
      </c>
    </row>
    <row r="782" spans="1:16" x14ac:dyDescent="0.2">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_xlfn.XLOOKUP(Table1[[#This Row],[Customer ID]],customers!$A$1:$A$1001,customers!$I$1:$I$1001,,0)</f>
        <v>No</v>
      </c>
    </row>
    <row r="783" spans="1:16" x14ac:dyDescent="0.2">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_xlfn.XLOOKUP(Table1[[#This Row],[Customer ID]],customers!$A$1:$A$1001,customers!$I$1:$I$1001,,0)</f>
        <v>No</v>
      </c>
    </row>
    <row r="784" spans="1:16" x14ac:dyDescent="0.2">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_xlfn.XLOOKUP(Table1[[#This Row],[Customer ID]],customers!$A$1:$A$1001,customers!$I$1:$I$1001,,0)</f>
        <v>No</v>
      </c>
    </row>
    <row r="785" spans="1:16" x14ac:dyDescent="0.2">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_xlfn.XLOOKUP(Table1[[#This Row],[Customer ID]],customers!$A$1:$A$1001,customers!$I$1:$I$1001,,0)</f>
        <v>Yes</v>
      </c>
    </row>
    <row r="786" spans="1:16" x14ac:dyDescent="0.2">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_xlfn.XLOOKUP(Table1[[#This Row],[Customer ID]],customers!$A$1:$A$1001,customers!$I$1:$I$1001,,0)</f>
        <v>No</v>
      </c>
    </row>
    <row r="787" spans="1:16" x14ac:dyDescent="0.2">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_xlfn.XLOOKUP(Table1[[#This Row],[Customer ID]],customers!$A$1:$A$1001,customers!$I$1:$I$1001,,0)</f>
        <v>No</v>
      </c>
    </row>
    <row r="788" spans="1:16" x14ac:dyDescent="0.2">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_xlfn.XLOOKUP(Table1[[#This Row],[Customer ID]],customers!$A$1:$A$1001,customers!$I$1:$I$1001,,0)</f>
        <v>Yes</v>
      </c>
    </row>
    <row r="789" spans="1:16" x14ac:dyDescent="0.2">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_xlfn.XLOOKUP(Table1[[#This Row],[Customer ID]],customers!$A$1:$A$1001,customers!$I$1:$I$1001,,0)</f>
        <v>Yes</v>
      </c>
    </row>
    <row r="790" spans="1:16" x14ac:dyDescent="0.2">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_xlfn.XLOOKUP(Table1[[#This Row],[Customer ID]],customers!$A$1:$A$1001,customers!$I$1:$I$1001,,0)</f>
        <v>Yes</v>
      </c>
    </row>
    <row r="791" spans="1:16" x14ac:dyDescent="0.2">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_xlfn.XLOOKUP(Table1[[#This Row],[Customer ID]],customers!$A$1:$A$1001,customers!$I$1:$I$1001,,0)</f>
        <v>No</v>
      </c>
    </row>
    <row r="792" spans="1:16" x14ac:dyDescent="0.2">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_xlfn.XLOOKUP(Table1[[#This Row],[Customer ID]],customers!$A$1:$A$1001,customers!$I$1:$I$1001,,0)</f>
        <v>No</v>
      </c>
    </row>
    <row r="793" spans="1:16" x14ac:dyDescent="0.2">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_xlfn.XLOOKUP(Table1[[#This Row],[Customer ID]],customers!$A$1:$A$1001,customers!$I$1:$I$1001,,0)</f>
        <v>Yes</v>
      </c>
    </row>
    <row r="794" spans="1:16" x14ac:dyDescent="0.2">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_xlfn.XLOOKUP(Table1[[#This Row],[Customer ID]],customers!$A$1:$A$1001,customers!$I$1:$I$1001,,0)</f>
        <v>Yes</v>
      </c>
    </row>
    <row r="795" spans="1:16" x14ac:dyDescent="0.2">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_xlfn.XLOOKUP(Table1[[#This Row],[Customer ID]],customers!$A$1:$A$1001,customers!$I$1:$I$1001,,0)</f>
        <v>No</v>
      </c>
    </row>
    <row r="796" spans="1:16" x14ac:dyDescent="0.2">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_xlfn.XLOOKUP(Table1[[#This Row],[Customer ID]],customers!$A$1:$A$1001,customers!$I$1:$I$1001,,0)</f>
        <v>No</v>
      </c>
    </row>
    <row r="797" spans="1:16" x14ac:dyDescent="0.2">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_xlfn.XLOOKUP(Table1[[#This Row],[Customer ID]],customers!$A$1:$A$1001,customers!$I$1:$I$1001,,0)</f>
        <v>No</v>
      </c>
    </row>
    <row r="798" spans="1:16" x14ac:dyDescent="0.2">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_xlfn.XLOOKUP(Table1[[#This Row],[Customer ID]],customers!$A$1:$A$1001,customers!$I$1:$I$1001,,0)</f>
        <v>No</v>
      </c>
    </row>
    <row r="799" spans="1:16" x14ac:dyDescent="0.2">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_xlfn.XLOOKUP(Table1[[#This Row],[Customer ID]],customers!$A$1:$A$1001,customers!$I$1:$I$1001,,0)</f>
        <v>No</v>
      </c>
    </row>
    <row r="800" spans="1:16" x14ac:dyDescent="0.2">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_xlfn.XLOOKUP(Table1[[#This Row],[Customer ID]],customers!$A$1:$A$1001,customers!$I$1:$I$1001,,0)</f>
        <v>Yes</v>
      </c>
    </row>
    <row r="801" spans="1:16" x14ac:dyDescent="0.2">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_xlfn.XLOOKUP(Table1[[#This Row],[Customer ID]],customers!$A$1:$A$1001,customers!$I$1:$I$1001,,0)</f>
        <v>Yes</v>
      </c>
    </row>
    <row r="802" spans="1:16" x14ac:dyDescent="0.2">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_xlfn.XLOOKUP(Table1[[#This Row],[Customer ID]],customers!$A$1:$A$1001,customers!$I$1:$I$1001,,0)</f>
        <v>No</v>
      </c>
    </row>
    <row r="803" spans="1:16" x14ac:dyDescent="0.2">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_xlfn.XLOOKUP(Table1[[#This Row],[Customer ID]],customers!$A$1:$A$1001,customers!$I$1:$I$1001,,0)</f>
        <v>Yes</v>
      </c>
    </row>
    <row r="804" spans="1:16" x14ac:dyDescent="0.2">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_xlfn.XLOOKUP(Table1[[#This Row],[Customer ID]],customers!$A$1:$A$1001,customers!$I$1:$I$1001,,0)</f>
        <v>No</v>
      </c>
    </row>
    <row r="805" spans="1:16" x14ac:dyDescent="0.2">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_xlfn.XLOOKUP(Table1[[#This Row],[Customer ID]],customers!$A$1:$A$1001,customers!$I$1:$I$1001,,0)</f>
        <v>No</v>
      </c>
    </row>
    <row r="806" spans="1:16" x14ac:dyDescent="0.2">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_xlfn.XLOOKUP(Table1[[#This Row],[Customer ID]],customers!$A$1:$A$1001,customers!$I$1:$I$1001,,0)</f>
        <v>No</v>
      </c>
    </row>
    <row r="807" spans="1:16" x14ac:dyDescent="0.2">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_xlfn.XLOOKUP(Table1[[#This Row],[Customer ID]],customers!$A$1:$A$1001,customers!$I$1:$I$1001,,0)</f>
        <v>No</v>
      </c>
    </row>
    <row r="808" spans="1:16" x14ac:dyDescent="0.2">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_xlfn.XLOOKUP(Table1[[#This Row],[Customer ID]],customers!$A$1:$A$1001,customers!$I$1:$I$1001,,0)</f>
        <v>Yes</v>
      </c>
    </row>
    <row r="809" spans="1:16" x14ac:dyDescent="0.2">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_xlfn.XLOOKUP(Table1[[#This Row],[Customer ID]],customers!$A$1:$A$1001,customers!$I$1:$I$1001,,0)</f>
        <v>No</v>
      </c>
    </row>
    <row r="810" spans="1:16" x14ac:dyDescent="0.2">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_xlfn.XLOOKUP(Table1[[#This Row],[Customer ID]],customers!$A$1:$A$1001,customers!$I$1:$I$1001,,0)</f>
        <v>No</v>
      </c>
    </row>
    <row r="811" spans="1:16" x14ac:dyDescent="0.2">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_xlfn.XLOOKUP(Table1[[#This Row],[Customer ID]],customers!$A$1:$A$1001,customers!$I$1:$I$1001,,0)</f>
        <v>Yes</v>
      </c>
    </row>
    <row r="812" spans="1:16" x14ac:dyDescent="0.2">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_xlfn.XLOOKUP(Table1[[#This Row],[Customer ID]],customers!$A$1:$A$1001,customers!$I$1:$I$1001,,0)</f>
        <v>No</v>
      </c>
    </row>
    <row r="813" spans="1:16" x14ac:dyDescent="0.2">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_xlfn.XLOOKUP(Table1[[#This Row],[Customer ID]],customers!$A$1:$A$1001,customers!$I$1:$I$1001,,0)</f>
        <v>Yes</v>
      </c>
    </row>
    <row r="814" spans="1:16" x14ac:dyDescent="0.2">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_xlfn.XLOOKUP(Table1[[#This Row],[Customer ID]],customers!$A$1:$A$1001,customers!$I$1:$I$1001,,0)</f>
        <v>Yes</v>
      </c>
    </row>
    <row r="815" spans="1:16" x14ac:dyDescent="0.2">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_xlfn.XLOOKUP(Table1[[#This Row],[Customer ID]],customers!$A$1:$A$1001,customers!$I$1:$I$1001,,0)</f>
        <v>Yes</v>
      </c>
    </row>
    <row r="816" spans="1:16" x14ac:dyDescent="0.2">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_xlfn.XLOOKUP(Table1[[#This Row],[Customer ID]],customers!$A$1:$A$1001,customers!$I$1:$I$1001,,0)</f>
        <v>No</v>
      </c>
    </row>
    <row r="817" spans="1:16" x14ac:dyDescent="0.2">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_xlfn.XLOOKUP(Table1[[#This Row],[Customer ID]],customers!$A$1:$A$1001,customers!$I$1:$I$1001,,0)</f>
        <v>No</v>
      </c>
    </row>
    <row r="818" spans="1:16" x14ac:dyDescent="0.2">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_xlfn.XLOOKUP(Table1[[#This Row],[Customer ID]],customers!$A$1:$A$1001,customers!$I$1:$I$1001,,0)</f>
        <v>No</v>
      </c>
    </row>
    <row r="819" spans="1:16" x14ac:dyDescent="0.2">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_xlfn.XLOOKUP(Table1[[#This Row],[Customer ID]],customers!$A$1:$A$1001,customers!$I$1:$I$1001,,0)</f>
        <v>No</v>
      </c>
    </row>
    <row r="820" spans="1:16" x14ac:dyDescent="0.2">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_xlfn.XLOOKUP(Table1[[#This Row],[Customer ID]],customers!$A$1:$A$1001,customers!$I$1:$I$1001,,0)</f>
        <v>No</v>
      </c>
    </row>
    <row r="821" spans="1:16" x14ac:dyDescent="0.2">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_xlfn.XLOOKUP(Table1[[#This Row],[Customer ID]],customers!$A$1:$A$1001,customers!$I$1:$I$1001,,0)</f>
        <v>Yes</v>
      </c>
    </row>
    <row r="822" spans="1:16" x14ac:dyDescent="0.2">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_xlfn.XLOOKUP(Table1[[#This Row],[Customer ID]],customers!$A$1:$A$1001,customers!$I$1:$I$1001,,0)</f>
        <v>Yes</v>
      </c>
    </row>
    <row r="823" spans="1:16" x14ac:dyDescent="0.2">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_xlfn.XLOOKUP(Table1[[#This Row],[Customer ID]],customers!$A$1:$A$1001,customers!$I$1:$I$1001,,0)</f>
        <v>No</v>
      </c>
    </row>
    <row r="824" spans="1:16" x14ac:dyDescent="0.2">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_xlfn.XLOOKUP(Table1[[#This Row],[Customer ID]],customers!$A$1:$A$1001,customers!$I$1:$I$1001,,0)</f>
        <v>No</v>
      </c>
    </row>
    <row r="825" spans="1:16" x14ac:dyDescent="0.2">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_xlfn.XLOOKUP(Table1[[#This Row],[Customer ID]],customers!$A$1:$A$1001,customers!$I$1:$I$1001,,0)</f>
        <v>Yes</v>
      </c>
    </row>
    <row r="826" spans="1:16" x14ac:dyDescent="0.2">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_xlfn.XLOOKUP(Table1[[#This Row],[Customer ID]],customers!$A$1:$A$1001,customers!$I$1:$I$1001,,0)</f>
        <v>Yes</v>
      </c>
    </row>
    <row r="827" spans="1:16" x14ac:dyDescent="0.2">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_xlfn.XLOOKUP(Table1[[#This Row],[Customer ID]],customers!$A$1:$A$1001,customers!$I$1:$I$1001,,0)</f>
        <v>Yes</v>
      </c>
    </row>
    <row r="828" spans="1:16" x14ac:dyDescent="0.2">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_xlfn.XLOOKUP(Table1[[#This Row],[Customer ID]],customers!$A$1:$A$1001,customers!$I$1:$I$1001,,0)</f>
        <v>Yes</v>
      </c>
    </row>
    <row r="829" spans="1:16" x14ac:dyDescent="0.2">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_xlfn.XLOOKUP(Table1[[#This Row],[Customer ID]],customers!$A$1:$A$1001,customers!$I$1:$I$1001,,0)</f>
        <v>No</v>
      </c>
    </row>
    <row r="830" spans="1:16" x14ac:dyDescent="0.2">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_xlfn.XLOOKUP(Table1[[#This Row],[Customer ID]],customers!$A$1:$A$1001,customers!$I$1:$I$1001,,0)</f>
        <v>Yes</v>
      </c>
    </row>
    <row r="831" spans="1:16" x14ac:dyDescent="0.2">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_xlfn.XLOOKUP(Table1[[#This Row],[Customer ID]],customers!$A$1:$A$1001,customers!$I$1:$I$1001,,0)</f>
        <v>No</v>
      </c>
    </row>
    <row r="832" spans="1:16" x14ac:dyDescent="0.2">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_xlfn.XLOOKUP(Table1[[#This Row],[Customer ID]],customers!$A$1:$A$1001,customers!$I$1:$I$1001,,0)</f>
        <v>No</v>
      </c>
    </row>
    <row r="833" spans="1:16" x14ac:dyDescent="0.2">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_xlfn.XLOOKUP(Table1[[#This Row],[Customer ID]],customers!$A$1:$A$1001,customers!$I$1:$I$1001,,0)</f>
        <v>No</v>
      </c>
    </row>
    <row r="834" spans="1:16" x14ac:dyDescent="0.2">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_xlfn.XLOOKUP(Table1[[#This Row],[Customer ID]],customers!$A$1:$A$1001,customers!$I$1:$I$1001,,0)</f>
        <v>No</v>
      </c>
    </row>
    <row r="835" spans="1:16" x14ac:dyDescent="0.2">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 IF(I835="Exc","Excelsa", IF(I835= "Ara", "Arabica", IF(I835= "Lib","Liberica", ""))))</f>
        <v>Robusta</v>
      </c>
      <c r="O835" t="str">
        <f t="shared" ref="O835:O898" si="41">IF(J835= "M", "Medium",IF(J835= "L","Light", IF(J835= "D", "Dark")))</f>
        <v>Dark</v>
      </c>
      <c r="P835" t="str">
        <f>_xlfn.XLOOKUP(Table1[[#This Row],[Customer ID]],customers!$A$1:$A$1001,customers!$I$1:$I$1001,,0)</f>
        <v>Yes</v>
      </c>
    </row>
    <row r="836" spans="1:16" x14ac:dyDescent="0.2">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_xlfn.XLOOKUP(Table1[[#This Row],[Customer ID]],customers!$A$1:$A$1001,customers!$I$1:$I$1001,,0)</f>
        <v>No</v>
      </c>
    </row>
    <row r="837" spans="1:16" x14ac:dyDescent="0.2">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_xlfn.XLOOKUP(Table1[[#This Row],[Customer ID]],customers!$A$1:$A$1001,customers!$I$1:$I$1001,,0)</f>
        <v>Yes</v>
      </c>
    </row>
    <row r="838" spans="1:16" x14ac:dyDescent="0.2">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_xlfn.XLOOKUP(Table1[[#This Row],[Customer ID]],customers!$A$1:$A$1001,customers!$I$1:$I$1001,,0)</f>
        <v>No</v>
      </c>
    </row>
    <row r="839" spans="1:16" x14ac:dyDescent="0.2">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_xlfn.XLOOKUP(Table1[[#This Row],[Customer ID]],customers!$A$1:$A$1001,customers!$I$1:$I$1001,,0)</f>
        <v>No</v>
      </c>
    </row>
    <row r="840" spans="1:16" x14ac:dyDescent="0.2">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_xlfn.XLOOKUP(Table1[[#This Row],[Customer ID]],customers!$A$1:$A$1001,customers!$I$1:$I$1001,,0)</f>
        <v>No</v>
      </c>
    </row>
    <row r="841" spans="1:16" x14ac:dyDescent="0.2">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_xlfn.XLOOKUP(Table1[[#This Row],[Customer ID]],customers!$A$1:$A$1001,customers!$I$1:$I$1001,,0)</f>
        <v>No</v>
      </c>
    </row>
    <row r="842" spans="1:16" x14ac:dyDescent="0.2">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_xlfn.XLOOKUP(Table1[[#This Row],[Customer ID]],customers!$A$1:$A$1001,customers!$I$1:$I$1001,,0)</f>
        <v>Yes</v>
      </c>
    </row>
    <row r="843" spans="1:16" x14ac:dyDescent="0.2">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_xlfn.XLOOKUP(Table1[[#This Row],[Customer ID]],customers!$A$1:$A$1001,customers!$I$1:$I$1001,,0)</f>
        <v>No</v>
      </c>
    </row>
    <row r="844" spans="1:16" x14ac:dyDescent="0.2">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_xlfn.XLOOKUP(Table1[[#This Row],[Customer ID]],customers!$A$1:$A$1001,customers!$I$1:$I$1001,,0)</f>
        <v>Yes</v>
      </c>
    </row>
    <row r="845" spans="1:16" x14ac:dyDescent="0.2">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_xlfn.XLOOKUP(Table1[[#This Row],[Customer ID]],customers!$A$1:$A$1001,customers!$I$1:$I$1001,,0)</f>
        <v>Yes</v>
      </c>
    </row>
    <row r="846" spans="1:16" x14ac:dyDescent="0.2">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_xlfn.XLOOKUP(Table1[[#This Row],[Customer ID]],customers!$A$1:$A$1001,customers!$I$1:$I$1001,,0)</f>
        <v>Yes</v>
      </c>
    </row>
    <row r="847" spans="1:16" x14ac:dyDescent="0.2">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_xlfn.XLOOKUP(Table1[[#This Row],[Customer ID]],customers!$A$1:$A$1001,customers!$I$1:$I$1001,,0)</f>
        <v>No</v>
      </c>
    </row>
    <row r="848" spans="1:16" x14ac:dyDescent="0.2">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_xlfn.XLOOKUP(Table1[[#This Row],[Customer ID]],customers!$A$1:$A$1001,customers!$I$1:$I$1001,,0)</f>
        <v>Yes</v>
      </c>
    </row>
    <row r="849" spans="1:16" x14ac:dyDescent="0.2">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_xlfn.XLOOKUP(Table1[[#This Row],[Customer ID]],customers!$A$1:$A$1001,customers!$I$1:$I$1001,,0)</f>
        <v>Yes</v>
      </c>
    </row>
    <row r="850" spans="1:16" x14ac:dyDescent="0.2">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_xlfn.XLOOKUP(Table1[[#This Row],[Customer ID]],customers!$A$1:$A$1001,customers!$I$1:$I$1001,,0)</f>
        <v>No</v>
      </c>
    </row>
    <row r="851" spans="1:16" x14ac:dyDescent="0.2">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_xlfn.XLOOKUP(Table1[[#This Row],[Customer ID]],customers!$A$1:$A$1001,customers!$I$1:$I$1001,,0)</f>
        <v>Yes</v>
      </c>
    </row>
    <row r="852" spans="1:16" x14ac:dyDescent="0.2">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_xlfn.XLOOKUP(Table1[[#This Row],[Customer ID]],customers!$A$1:$A$1001,customers!$I$1:$I$1001,,0)</f>
        <v>Yes</v>
      </c>
    </row>
    <row r="853" spans="1:16" x14ac:dyDescent="0.2">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_xlfn.XLOOKUP(Table1[[#This Row],[Customer ID]],customers!$A$1:$A$1001,customers!$I$1:$I$1001,,0)</f>
        <v>Yes</v>
      </c>
    </row>
    <row r="854" spans="1:16" x14ac:dyDescent="0.2">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_xlfn.XLOOKUP(Table1[[#This Row],[Customer ID]],customers!$A$1:$A$1001,customers!$I$1:$I$1001,,0)</f>
        <v>Yes</v>
      </c>
    </row>
    <row r="855" spans="1:16" x14ac:dyDescent="0.2">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_xlfn.XLOOKUP(Table1[[#This Row],[Customer ID]],customers!$A$1:$A$1001,customers!$I$1:$I$1001,,0)</f>
        <v>No</v>
      </c>
    </row>
    <row r="856" spans="1:16" x14ac:dyDescent="0.2">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_xlfn.XLOOKUP(Table1[[#This Row],[Customer ID]],customers!$A$1:$A$1001,customers!$I$1:$I$1001,,0)</f>
        <v>Yes</v>
      </c>
    </row>
    <row r="857" spans="1:16" x14ac:dyDescent="0.2">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_xlfn.XLOOKUP(Table1[[#This Row],[Customer ID]],customers!$A$1:$A$1001,customers!$I$1:$I$1001,,0)</f>
        <v>No</v>
      </c>
    </row>
    <row r="858" spans="1:16" x14ac:dyDescent="0.2">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_xlfn.XLOOKUP(Table1[[#This Row],[Customer ID]],customers!$A$1:$A$1001,customers!$I$1:$I$1001,,0)</f>
        <v>Yes</v>
      </c>
    </row>
    <row r="859" spans="1:16" x14ac:dyDescent="0.2">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_xlfn.XLOOKUP(Table1[[#This Row],[Customer ID]],customers!$A$1:$A$1001,customers!$I$1:$I$1001,,0)</f>
        <v>No</v>
      </c>
    </row>
    <row r="860" spans="1:16" x14ac:dyDescent="0.2">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_xlfn.XLOOKUP(Table1[[#This Row],[Customer ID]],customers!$A$1:$A$1001,customers!$I$1:$I$1001,,0)</f>
        <v>No</v>
      </c>
    </row>
    <row r="861" spans="1:16" x14ac:dyDescent="0.2">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_xlfn.XLOOKUP(Table1[[#This Row],[Customer ID]],customers!$A$1:$A$1001,customers!$I$1:$I$1001,,0)</f>
        <v>No</v>
      </c>
    </row>
    <row r="862" spans="1:16" x14ac:dyDescent="0.2">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_xlfn.XLOOKUP(Table1[[#This Row],[Customer ID]],customers!$A$1:$A$1001,customers!$I$1:$I$1001,,0)</f>
        <v>No</v>
      </c>
    </row>
    <row r="863" spans="1:16" x14ac:dyDescent="0.2">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_xlfn.XLOOKUP(Table1[[#This Row],[Customer ID]],customers!$A$1:$A$1001,customers!$I$1:$I$1001,,0)</f>
        <v>Yes</v>
      </c>
    </row>
    <row r="864" spans="1:16" x14ac:dyDescent="0.2">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_xlfn.XLOOKUP(Table1[[#This Row],[Customer ID]],customers!$A$1:$A$1001,customers!$I$1:$I$1001,,0)</f>
        <v>Yes</v>
      </c>
    </row>
    <row r="865" spans="1:16" x14ac:dyDescent="0.2">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_xlfn.XLOOKUP(Table1[[#This Row],[Customer ID]],customers!$A$1:$A$1001,customers!$I$1:$I$1001,,0)</f>
        <v>Yes</v>
      </c>
    </row>
    <row r="866" spans="1:16" x14ac:dyDescent="0.2">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_xlfn.XLOOKUP(Table1[[#This Row],[Customer ID]],customers!$A$1:$A$1001,customers!$I$1:$I$1001,,0)</f>
        <v>No</v>
      </c>
    </row>
    <row r="867" spans="1:16" x14ac:dyDescent="0.2">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_xlfn.XLOOKUP(Table1[[#This Row],[Customer ID]],customers!$A$1:$A$1001,customers!$I$1:$I$1001,,0)</f>
        <v>Yes</v>
      </c>
    </row>
    <row r="868" spans="1:16" x14ac:dyDescent="0.2">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_xlfn.XLOOKUP(Table1[[#This Row],[Customer ID]],customers!$A$1:$A$1001,customers!$I$1:$I$1001,,0)</f>
        <v>No</v>
      </c>
    </row>
    <row r="869" spans="1:16" x14ac:dyDescent="0.2">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_xlfn.XLOOKUP(Table1[[#This Row],[Customer ID]],customers!$A$1:$A$1001,customers!$I$1:$I$1001,,0)</f>
        <v>Yes</v>
      </c>
    </row>
    <row r="870" spans="1:16" x14ac:dyDescent="0.2">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_xlfn.XLOOKUP(Table1[[#This Row],[Customer ID]],customers!$A$1:$A$1001,customers!$I$1:$I$1001,,0)</f>
        <v>Yes</v>
      </c>
    </row>
    <row r="871" spans="1:16" x14ac:dyDescent="0.2">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_xlfn.XLOOKUP(Table1[[#This Row],[Customer ID]],customers!$A$1:$A$1001,customers!$I$1:$I$1001,,0)</f>
        <v>Yes</v>
      </c>
    </row>
    <row r="872" spans="1:16" x14ac:dyDescent="0.2">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_xlfn.XLOOKUP(Table1[[#This Row],[Customer ID]],customers!$A$1:$A$1001,customers!$I$1:$I$1001,,0)</f>
        <v>Yes</v>
      </c>
    </row>
    <row r="873" spans="1:16" x14ac:dyDescent="0.2">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_xlfn.XLOOKUP(Table1[[#This Row],[Customer ID]],customers!$A$1:$A$1001,customers!$I$1:$I$1001,,0)</f>
        <v>Yes</v>
      </c>
    </row>
    <row r="874" spans="1:16" x14ac:dyDescent="0.2">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_xlfn.XLOOKUP(Table1[[#This Row],[Customer ID]],customers!$A$1:$A$1001,customers!$I$1:$I$1001,,0)</f>
        <v>No</v>
      </c>
    </row>
    <row r="875" spans="1:16" x14ac:dyDescent="0.2">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_xlfn.XLOOKUP(Table1[[#This Row],[Customer ID]],customers!$A$1:$A$1001,customers!$I$1:$I$1001,,0)</f>
        <v>Yes</v>
      </c>
    </row>
    <row r="876" spans="1:16" x14ac:dyDescent="0.2">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_xlfn.XLOOKUP(Table1[[#This Row],[Customer ID]],customers!$A$1:$A$1001,customers!$I$1:$I$1001,,0)</f>
        <v>No</v>
      </c>
    </row>
    <row r="877" spans="1:16" x14ac:dyDescent="0.2">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_xlfn.XLOOKUP(Table1[[#This Row],[Customer ID]],customers!$A$1:$A$1001,customers!$I$1:$I$1001,,0)</f>
        <v>No</v>
      </c>
    </row>
    <row r="878" spans="1:16" x14ac:dyDescent="0.2">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_xlfn.XLOOKUP(Table1[[#This Row],[Customer ID]],customers!$A$1:$A$1001,customers!$I$1:$I$1001,,0)</f>
        <v>No</v>
      </c>
    </row>
    <row r="879" spans="1:16" x14ac:dyDescent="0.2">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_xlfn.XLOOKUP(Table1[[#This Row],[Customer ID]],customers!$A$1:$A$1001,customers!$I$1:$I$1001,,0)</f>
        <v>No</v>
      </c>
    </row>
    <row r="880" spans="1:16" x14ac:dyDescent="0.2">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_xlfn.XLOOKUP(Table1[[#This Row],[Customer ID]],customers!$A$1:$A$1001,customers!$I$1:$I$1001,,0)</f>
        <v>Yes</v>
      </c>
    </row>
    <row r="881" spans="1:16" x14ac:dyDescent="0.2">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_xlfn.XLOOKUP(Table1[[#This Row],[Customer ID]],customers!$A$1:$A$1001,customers!$I$1:$I$1001,,0)</f>
        <v>No</v>
      </c>
    </row>
    <row r="882" spans="1:16" x14ac:dyDescent="0.2">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_xlfn.XLOOKUP(Table1[[#This Row],[Customer ID]],customers!$A$1:$A$1001,customers!$I$1:$I$1001,,0)</f>
        <v>No</v>
      </c>
    </row>
    <row r="883" spans="1:16" x14ac:dyDescent="0.2">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_xlfn.XLOOKUP(Table1[[#This Row],[Customer ID]],customers!$A$1:$A$1001,customers!$I$1:$I$1001,,0)</f>
        <v>Yes</v>
      </c>
    </row>
    <row r="884" spans="1:16" x14ac:dyDescent="0.2">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_xlfn.XLOOKUP(Table1[[#This Row],[Customer ID]],customers!$A$1:$A$1001,customers!$I$1:$I$1001,,0)</f>
        <v>Yes</v>
      </c>
    </row>
    <row r="885" spans="1:16" x14ac:dyDescent="0.2">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_xlfn.XLOOKUP(Table1[[#This Row],[Customer ID]],customers!$A$1:$A$1001,customers!$I$1:$I$1001,,0)</f>
        <v>Yes</v>
      </c>
    </row>
    <row r="886" spans="1:16" x14ac:dyDescent="0.2">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_xlfn.XLOOKUP(Table1[[#This Row],[Customer ID]],customers!$A$1:$A$1001,customers!$I$1:$I$1001,,0)</f>
        <v>Yes</v>
      </c>
    </row>
    <row r="887" spans="1:16" x14ac:dyDescent="0.2">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_xlfn.XLOOKUP(Table1[[#This Row],[Customer ID]],customers!$A$1:$A$1001,customers!$I$1:$I$1001,,0)</f>
        <v>No</v>
      </c>
    </row>
    <row r="888" spans="1:16" x14ac:dyDescent="0.2">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_xlfn.XLOOKUP(Table1[[#This Row],[Customer ID]],customers!$A$1:$A$1001,customers!$I$1:$I$1001,,0)</f>
        <v>No</v>
      </c>
    </row>
    <row r="889" spans="1:16" x14ac:dyDescent="0.2">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_xlfn.XLOOKUP(Table1[[#This Row],[Customer ID]],customers!$A$1:$A$1001,customers!$I$1:$I$1001,,0)</f>
        <v>No</v>
      </c>
    </row>
    <row r="890" spans="1:16" x14ac:dyDescent="0.2">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_xlfn.XLOOKUP(Table1[[#This Row],[Customer ID]],customers!$A$1:$A$1001,customers!$I$1:$I$1001,,0)</f>
        <v>Yes</v>
      </c>
    </row>
    <row r="891" spans="1:16" x14ac:dyDescent="0.2">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_xlfn.XLOOKUP(Table1[[#This Row],[Customer ID]],customers!$A$1:$A$1001,customers!$I$1:$I$1001,,0)</f>
        <v>Yes</v>
      </c>
    </row>
    <row r="892" spans="1:16" x14ac:dyDescent="0.2">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_xlfn.XLOOKUP(Table1[[#This Row],[Customer ID]],customers!$A$1:$A$1001,customers!$I$1:$I$1001,,0)</f>
        <v>Yes</v>
      </c>
    </row>
    <row r="893" spans="1:16" x14ac:dyDescent="0.2">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_xlfn.XLOOKUP(Table1[[#This Row],[Customer ID]],customers!$A$1:$A$1001,customers!$I$1:$I$1001,,0)</f>
        <v>Yes</v>
      </c>
    </row>
    <row r="894" spans="1:16" x14ac:dyDescent="0.2">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_xlfn.XLOOKUP(Table1[[#This Row],[Customer ID]],customers!$A$1:$A$1001,customers!$I$1:$I$1001,,0)</f>
        <v>No</v>
      </c>
    </row>
    <row r="895" spans="1:16" x14ac:dyDescent="0.2">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_xlfn.XLOOKUP(Table1[[#This Row],[Customer ID]],customers!$A$1:$A$1001,customers!$I$1:$I$1001,,0)</f>
        <v>Yes</v>
      </c>
    </row>
    <row r="896" spans="1:16" x14ac:dyDescent="0.2">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_xlfn.XLOOKUP(Table1[[#This Row],[Customer ID]],customers!$A$1:$A$1001,customers!$I$1:$I$1001,,0)</f>
        <v>Yes</v>
      </c>
    </row>
    <row r="897" spans="1:16" x14ac:dyDescent="0.2">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_xlfn.XLOOKUP(Table1[[#This Row],[Customer ID]],customers!$A$1:$A$1001,customers!$I$1:$I$1001,,0)</f>
        <v>No</v>
      </c>
    </row>
    <row r="898" spans="1:16" x14ac:dyDescent="0.2">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_xlfn.XLOOKUP(Table1[[#This Row],[Customer ID]],customers!$A$1:$A$1001,customers!$I$1:$I$1001,,0)</f>
        <v>Yes</v>
      </c>
    </row>
    <row r="899" spans="1:16" x14ac:dyDescent="0.2">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 IF(I899="Exc","Excelsa", IF(I899= "Ara", "Arabica", IF(I899= "Lib","Liberica", ""))))</f>
        <v>Excelsa</v>
      </c>
      <c r="O899" t="str">
        <f t="shared" ref="O899:O962" si="44">IF(J899= "M", "Medium",IF(J899= "L","Light", IF(J899= "D", "Dark")))</f>
        <v>Dark</v>
      </c>
      <c r="P899" t="str">
        <f>_xlfn.XLOOKUP(Table1[[#This Row],[Customer ID]],customers!$A$1:$A$1001,customers!$I$1:$I$1001,,0)</f>
        <v>No</v>
      </c>
    </row>
    <row r="900" spans="1:16" x14ac:dyDescent="0.2">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_xlfn.XLOOKUP(Table1[[#This Row],[Customer ID]],customers!$A$1:$A$1001,customers!$I$1:$I$1001,,0)</f>
        <v>No</v>
      </c>
    </row>
    <row r="901" spans="1:16" x14ac:dyDescent="0.2">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_xlfn.XLOOKUP(Table1[[#This Row],[Customer ID]],customers!$A$1:$A$1001,customers!$I$1:$I$1001,,0)</f>
        <v>No</v>
      </c>
    </row>
    <row r="902" spans="1:16" x14ac:dyDescent="0.2">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_xlfn.XLOOKUP(Table1[[#This Row],[Customer ID]],customers!$A$1:$A$1001,customers!$I$1:$I$1001,,0)</f>
        <v>No</v>
      </c>
    </row>
    <row r="903" spans="1:16" x14ac:dyDescent="0.2">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_xlfn.XLOOKUP(Table1[[#This Row],[Customer ID]],customers!$A$1:$A$1001,customers!$I$1:$I$1001,,0)</f>
        <v>Yes</v>
      </c>
    </row>
    <row r="904" spans="1:16" x14ac:dyDescent="0.2">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_xlfn.XLOOKUP(Table1[[#This Row],[Customer ID]],customers!$A$1:$A$1001,customers!$I$1:$I$1001,,0)</f>
        <v>No</v>
      </c>
    </row>
    <row r="905" spans="1:16" x14ac:dyDescent="0.2">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_xlfn.XLOOKUP(Table1[[#This Row],[Customer ID]],customers!$A$1:$A$1001,customers!$I$1:$I$1001,,0)</f>
        <v>No</v>
      </c>
    </row>
    <row r="906" spans="1:16" x14ac:dyDescent="0.2">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_xlfn.XLOOKUP(Table1[[#This Row],[Customer ID]],customers!$A$1:$A$1001,customers!$I$1:$I$1001,,0)</f>
        <v>No</v>
      </c>
    </row>
    <row r="907" spans="1:16" x14ac:dyDescent="0.2">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_xlfn.XLOOKUP(Table1[[#This Row],[Customer ID]],customers!$A$1:$A$1001,customers!$I$1:$I$1001,,0)</f>
        <v>Yes</v>
      </c>
    </row>
    <row r="908" spans="1:16" x14ac:dyDescent="0.2">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_xlfn.XLOOKUP(Table1[[#This Row],[Customer ID]],customers!$A$1:$A$1001,customers!$I$1:$I$1001,,0)</f>
        <v>Yes</v>
      </c>
    </row>
    <row r="909" spans="1:16" x14ac:dyDescent="0.2">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_xlfn.XLOOKUP(Table1[[#This Row],[Customer ID]],customers!$A$1:$A$1001,customers!$I$1:$I$1001,,0)</f>
        <v>No</v>
      </c>
    </row>
    <row r="910" spans="1:16" x14ac:dyDescent="0.2">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_xlfn.XLOOKUP(Table1[[#This Row],[Customer ID]],customers!$A$1:$A$1001,customers!$I$1:$I$1001,,0)</f>
        <v>No</v>
      </c>
    </row>
    <row r="911" spans="1:16" x14ac:dyDescent="0.2">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_xlfn.XLOOKUP(Table1[[#This Row],[Customer ID]],customers!$A$1:$A$1001,customers!$I$1:$I$1001,,0)</f>
        <v>No</v>
      </c>
    </row>
    <row r="912" spans="1:16" x14ac:dyDescent="0.2">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_xlfn.XLOOKUP(Table1[[#This Row],[Customer ID]],customers!$A$1:$A$1001,customers!$I$1:$I$1001,,0)</f>
        <v>No</v>
      </c>
    </row>
    <row r="913" spans="1:16" x14ac:dyDescent="0.2">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_xlfn.XLOOKUP(Table1[[#This Row],[Customer ID]],customers!$A$1:$A$1001,customers!$I$1:$I$1001,,0)</f>
        <v>Yes</v>
      </c>
    </row>
    <row r="914" spans="1:16" x14ac:dyDescent="0.2">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_xlfn.XLOOKUP(Table1[[#This Row],[Customer ID]],customers!$A$1:$A$1001,customers!$I$1:$I$1001,,0)</f>
        <v>Yes</v>
      </c>
    </row>
    <row r="915" spans="1:16" x14ac:dyDescent="0.2">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_xlfn.XLOOKUP(Table1[[#This Row],[Customer ID]],customers!$A$1:$A$1001,customers!$I$1:$I$1001,,0)</f>
        <v>No</v>
      </c>
    </row>
    <row r="916" spans="1:16" x14ac:dyDescent="0.2">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_xlfn.XLOOKUP(Table1[[#This Row],[Customer ID]],customers!$A$1:$A$1001,customers!$I$1:$I$1001,,0)</f>
        <v>No</v>
      </c>
    </row>
    <row r="917" spans="1:16" x14ac:dyDescent="0.2">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_xlfn.XLOOKUP(Table1[[#This Row],[Customer ID]],customers!$A$1:$A$1001,customers!$I$1:$I$1001,,0)</f>
        <v>Yes</v>
      </c>
    </row>
    <row r="918" spans="1:16" x14ac:dyDescent="0.2">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_xlfn.XLOOKUP(Table1[[#This Row],[Customer ID]],customers!$A$1:$A$1001,customers!$I$1:$I$1001,,0)</f>
        <v>Yes</v>
      </c>
    </row>
    <row r="919" spans="1:16" x14ac:dyDescent="0.2">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_xlfn.XLOOKUP(Table1[[#This Row],[Customer ID]],customers!$A$1:$A$1001,customers!$I$1:$I$1001,,0)</f>
        <v>No</v>
      </c>
    </row>
    <row r="920" spans="1:16" x14ac:dyDescent="0.2">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_xlfn.XLOOKUP(Table1[[#This Row],[Customer ID]],customers!$A$1:$A$1001,customers!$I$1:$I$1001,,0)</f>
        <v>No</v>
      </c>
    </row>
    <row r="921" spans="1:16" x14ac:dyDescent="0.2">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_xlfn.XLOOKUP(Table1[[#This Row],[Customer ID]],customers!$A$1:$A$1001,customers!$I$1:$I$1001,,0)</f>
        <v>Yes</v>
      </c>
    </row>
    <row r="922" spans="1:16" x14ac:dyDescent="0.2">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_xlfn.XLOOKUP(Table1[[#This Row],[Customer ID]],customers!$A$1:$A$1001,customers!$I$1:$I$1001,,0)</f>
        <v>No</v>
      </c>
    </row>
    <row r="923" spans="1:16" x14ac:dyDescent="0.2">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_xlfn.XLOOKUP(Table1[[#This Row],[Customer ID]],customers!$A$1:$A$1001,customers!$I$1:$I$1001,,0)</f>
        <v>No</v>
      </c>
    </row>
    <row r="924" spans="1:16" x14ac:dyDescent="0.2">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_xlfn.XLOOKUP(Table1[[#This Row],[Customer ID]],customers!$A$1:$A$1001,customers!$I$1:$I$1001,,0)</f>
        <v>Yes</v>
      </c>
    </row>
    <row r="925" spans="1:16" x14ac:dyDescent="0.2">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_xlfn.XLOOKUP(Table1[[#This Row],[Customer ID]],customers!$A$1:$A$1001,customers!$I$1:$I$1001,,0)</f>
        <v>No</v>
      </c>
    </row>
    <row r="926" spans="1:16" x14ac:dyDescent="0.2">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_xlfn.XLOOKUP(Table1[[#This Row],[Customer ID]],customers!$A$1:$A$1001,customers!$I$1:$I$1001,,0)</f>
        <v>No</v>
      </c>
    </row>
    <row r="927" spans="1:16" x14ac:dyDescent="0.2">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_xlfn.XLOOKUP(Table1[[#This Row],[Customer ID]],customers!$A$1:$A$1001,customers!$I$1:$I$1001,,0)</f>
        <v>No</v>
      </c>
    </row>
    <row r="928" spans="1:16" x14ac:dyDescent="0.2">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_xlfn.XLOOKUP(Table1[[#This Row],[Customer ID]],customers!$A$1:$A$1001,customers!$I$1:$I$1001,,0)</f>
        <v>Yes</v>
      </c>
    </row>
    <row r="929" spans="1:16" x14ac:dyDescent="0.2">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_xlfn.XLOOKUP(Table1[[#This Row],[Customer ID]],customers!$A$1:$A$1001,customers!$I$1:$I$1001,,0)</f>
        <v>No</v>
      </c>
    </row>
    <row r="930" spans="1:16" x14ac:dyDescent="0.2">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_xlfn.XLOOKUP(Table1[[#This Row],[Customer ID]],customers!$A$1:$A$1001,customers!$I$1:$I$1001,,0)</f>
        <v>Yes</v>
      </c>
    </row>
    <row r="931" spans="1:16" x14ac:dyDescent="0.2">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_xlfn.XLOOKUP(Table1[[#This Row],[Customer ID]],customers!$A$1:$A$1001,customers!$I$1:$I$1001,,0)</f>
        <v>Yes</v>
      </c>
    </row>
    <row r="932" spans="1:16" x14ac:dyDescent="0.2">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_xlfn.XLOOKUP(Table1[[#This Row],[Customer ID]],customers!$A$1:$A$1001,customers!$I$1:$I$1001,,0)</f>
        <v>Yes</v>
      </c>
    </row>
    <row r="933" spans="1:16" x14ac:dyDescent="0.2">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_xlfn.XLOOKUP(Table1[[#This Row],[Customer ID]],customers!$A$1:$A$1001,customers!$I$1:$I$1001,,0)</f>
        <v>Yes</v>
      </c>
    </row>
    <row r="934" spans="1:16" x14ac:dyDescent="0.2">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_xlfn.XLOOKUP(Table1[[#This Row],[Customer ID]],customers!$A$1:$A$1001,customers!$I$1:$I$1001,,0)</f>
        <v>No</v>
      </c>
    </row>
    <row r="935" spans="1:16" x14ac:dyDescent="0.2">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_xlfn.XLOOKUP(Table1[[#This Row],[Customer ID]],customers!$A$1:$A$1001,customers!$I$1:$I$1001,,0)</f>
        <v>Yes</v>
      </c>
    </row>
    <row r="936" spans="1:16" x14ac:dyDescent="0.2">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_xlfn.XLOOKUP(Table1[[#This Row],[Customer ID]],customers!$A$1:$A$1001,customers!$I$1:$I$1001,,0)</f>
        <v>No</v>
      </c>
    </row>
    <row r="937" spans="1:16" x14ac:dyDescent="0.2">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_xlfn.XLOOKUP(Table1[[#This Row],[Customer ID]],customers!$A$1:$A$1001,customers!$I$1:$I$1001,,0)</f>
        <v>Yes</v>
      </c>
    </row>
    <row r="938" spans="1:16" x14ac:dyDescent="0.2">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_xlfn.XLOOKUP(Table1[[#This Row],[Customer ID]],customers!$A$1:$A$1001,customers!$I$1:$I$1001,,0)</f>
        <v>Yes</v>
      </c>
    </row>
    <row r="939" spans="1:16" x14ac:dyDescent="0.2">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_xlfn.XLOOKUP(Table1[[#This Row],[Customer ID]],customers!$A$1:$A$1001,customers!$I$1:$I$1001,,0)</f>
        <v>Yes</v>
      </c>
    </row>
    <row r="940" spans="1:16" x14ac:dyDescent="0.2">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_xlfn.XLOOKUP(Table1[[#This Row],[Customer ID]],customers!$A$1:$A$1001,customers!$I$1:$I$1001,,0)</f>
        <v>Yes</v>
      </c>
    </row>
    <row r="941" spans="1:16" x14ac:dyDescent="0.2">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_xlfn.XLOOKUP(Table1[[#This Row],[Customer ID]],customers!$A$1:$A$1001,customers!$I$1:$I$1001,,0)</f>
        <v>No</v>
      </c>
    </row>
    <row r="942" spans="1:16" x14ac:dyDescent="0.2">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_xlfn.XLOOKUP(Table1[[#This Row],[Customer ID]],customers!$A$1:$A$1001,customers!$I$1:$I$1001,,0)</f>
        <v>Yes</v>
      </c>
    </row>
    <row r="943" spans="1:16" x14ac:dyDescent="0.2">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_xlfn.XLOOKUP(Table1[[#This Row],[Customer ID]],customers!$A$1:$A$1001,customers!$I$1:$I$1001,,0)</f>
        <v>Yes</v>
      </c>
    </row>
    <row r="944" spans="1:16" x14ac:dyDescent="0.2">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_xlfn.XLOOKUP(Table1[[#This Row],[Customer ID]],customers!$A$1:$A$1001,customers!$I$1:$I$1001,,0)</f>
        <v>No</v>
      </c>
    </row>
    <row r="945" spans="1:16" x14ac:dyDescent="0.2">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_xlfn.XLOOKUP(Table1[[#This Row],[Customer ID]],customers!$A$1:$A$1001,customers!$I$1:$I$1001,,0)</f>
        <v>No</v>
      </c>
    </row>
    <row r="946" spans="1:16" x14ac:dyDescent="0.2">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_xlfn.XLOOKUP(Table1[[#This Row],[Customer ID]],customers!$A$1:$A$1001,customers!$I$1:$I$1001,,0)</f>
        <v>No</v>
      </c>
    </row>
    <row r="947" spans="1:16" x14ac:dyDescent="0.2">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_xlfn.XLOOKUP(Table1[[#This Row],[Customer ID]],customers!$A$1:$A$1001,customers!$I$1:$I$1001,,0)</f>
        <v>No</v>
      </c>
    </row>
    <row r="948" spans="1:16" x14ac:dyDescent="0.2">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_xlfn.XLOOKUP(Table1[[#This Row],[Customer ID]],customers!$A$1:$A$1001,customers!$I$1:$I$1001,,0)</f>
        <v>No</v>
      </c>
    </row>
    <row r="949" spans="1:16" x14ac:dyDescent="0.2">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_xlfn.XLOOKUP(Table1[[#This Row],[Customer ID]],customers!$A$1:$A$1001,customers!$I$1:$I$1001,,0)</f>
        <v>No</v>
      </c>
    </row>
    <row r="950" spans="1:16" x14ac:dyDescent="0.2">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_xlfn.XLOOKUP(Table1[[#This Row],[Customer ID]],customers!$A$1:$A$1001,customers!$I$1:$I$1001,,0)</f>
        <v>Yes</v>
      </c>
    </row>
    <row r="951" spans="1:16" x14ac:dyDescent="0.2">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_xlfn.XLOOKUP(Table1[[#This Row],[Customer ID]],customers!$A$1:$A$1001,customers!$I$1:$I$1001,,0)</f>
        <v>No</v>
      </c>
    </row>
    <row r="952" spans="1:16" x14ac:dyDescent="0.2">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_xlfn.XLOOKUP(Table1[[#This Row],[Customer ID]],customers!$A$1:$A$1001,customers!$I$1:$I$1001,,0)</f>
        <v>Yes</v>
      </c>
    </row>
    <row r="953" spans="1:16" x14ac:dyDescent="0.2">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_xlfn.XLOOKUP(Table1[[#This Row],[Customer ID]],customers!$A$1:$A$1001,customers!$I$1:$I$1001,,0)</f>
        <v>No</v>
      </c>
    </row>
    <row r="954" spans="1:16" x14ac:dyDescent="0.2">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_xlfn.XLOOKUP(Table1[[#This Row],[Customer ID]],customers!$A$1:$A$1001,customers!$I$1:$I$1001,,0)</f>
        <v>Yes</v>
      </c>
    </row>
    <row r="955" spans="1:16" x14ac:dyDescent="0.2">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_xlfn.XLOOKUP(Table1[[#This Row],[Customer ID]],customers!$A$1:$A$1001,customers!$I$1:$I$1001,,0)</f>
        <v>Yes</v>
      </c>
    </row>
    <row r="956" spans="1:16" x14ac:dyDescent="0.2">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_xlfn.XLOOKUP(Table1[[#This Row],[Customer ID]],customers!$A$1:$A$1001,customers!$I$1:$I$1001,,0)</f>
        <v>Yes</v>
      </c>
    </row>
    <row r="957" spans="1:16" x14ac:dyDescent="0.2">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_xlfn.XLOOKUP(Table1[[#This Row],[Customer ID]],customers!$A$1:$A$1001,customers!$I$1:$I$1001,,0)</f>
        <v>Yes</v>
      </c>
    </row>
    <row r="958" spans="1:16" x14ac:dyDescent="0.2">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_xlfn.XLOOKUP(Table1[[#This Row],[Customer ID]],customers!$A$1:$A$1001,customers!$I$1:$I$1001,,0)</f>
        <v>Yes</v>
      </c>
    </row>
    <row r="959" spans="1:16" x14ac:dyDescent="0.2">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_xlfn.XLOOKUP(Table1[[#This Row],[Customer ID]],customers!$A$1:$A$1001,customers!$I$1:$I$1001,,0)</f>
        <v>Yes</v>
      </c>
    </row>
    <row r="960" spans="1:16" x14ac:dyDescent="0.2">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_xlfn.XLOOKUP(Table1[[#This Row],[Customer ID]],customers!$A$1:$A$1001,customers!$I$1:$I$1001,,0)</f>
        <v>Yes</v>
      </c>
    </row>
    <row r="961" spans="1:16" x14ac:dyDescent="0.2">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_xlfn.XLOOKUP(Table1[[#This Row],[Customer ID]],customers!$A$1:$A$1001,customers!$I$1:$I$1001,,0)</f>
        <v>Yes</v>
      </c>
    </row>
    <row r="962" spans="1:16" x14ac:dyDescent="0.2">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_xlfn.XLOOKUP(Table1[[#This Row],[Customer ID]],customers!$A$1:$A$1001,customers!$I$1:$I$1001,,0)</f>
        <v>Yes</v>
      </c>
    </row>
    <row r="963" spans="1:16" x14ac:dyDescent="0.2">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 IF(I963="Exc","Excelsa", IF(I963= "Ara", "Arabica", IF(I963= "Lib","Liberica", ""))))</f>
        <v>Arabica</v>
      </c>
      <c r="O963" t="str">
        <f t="shared" ref="O963:O1001" si="47">IF(J963= "M", "Medium",IF(J963= "L","Light", IF(J963= "D", "Dark")))</f>
        <v>Dark</v>
      </c>
      <c r="P963" t="str">
        <f>_xlfn.XLOOKUP(Table1[[#This Row],[Customer ID]],customers!$A$1:$A$1001,customers!$I$1:$I$1001,,0)</f>
        <v>Yes</v>
      </c>
    </row>
    <row r="964" spans="1:16" x14ac:dyDescent="0.2">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_xlfn.XLOOKUP(Table1[[#This Row],[Customer ID]],customers!$A$1:$A$1001,customers!$I$1:$I$1001,,0)</f>
        <v>Yes</v>
      </c>
    </row>
    <row r="965" spans="1:16" x14ac:dyDescent="0.2">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_xlfn.XLOOKUP(Table1[[#This Row],[Customer ID]],customers!$A$1:$A$1001,customers!$I$1:$I$1001,,0)</f>
        <v>Yes</v>
      </c>
    </row>
    <row r="966" spans="1:16" x14ac:dyDescent="0.2">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_xlfn.XLOOKUP(Table1[[#This Row],[Customer ID]],customers!$A$1:$A$1001,customers!$I$1:$I$1001,,0)</f>
        <v>No</v>
      </c>
    </row>
    <row r="967" spans="1:16" x14ac:dyDescent="0.2">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_xlfn.XLOOKUP(Table1[[#This Row],[Customer ID]],customers!$A$1:$A$1001,customers!$I$1:$I$1001,,0)</f>
        <v>Yes</v>
      </c>
    </row>
    <row r="968" spans="1:16" x14ac:dyDescent="0.2">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_xlfn.XLOOKUP(Table1[[#This Row],[Customer ID]],customers!$A$1:$A$1001,customers!$I$1:$I$1001,,0)</f>
        <v>Yes</v>
      </c>
    </row>
    <row r="969" spans="1:16" x14ac:dyDescent="0.2">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_xlfn.XLOOKUP(Table1[[#This Row],[Customer ID]],customers!$A$1:$A$1001,customers!$I$1:$I$1001,,0)</f>
        <v>Yes</v>
      </c>
    </row>
    <row r="970" spans="1:16" x14ac:dyDescent="0.2">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_xlfn.XLOOKUP(Table1[[#This Row],[Customer ID]],customers!$A$1:$A$1001,customers!$I$1:$I$1001,,0)</f>
        <v>No</v>
      </c>
    </row>
    <row r="971" spans="1:16" x14ac:dyDescent="0.2">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_xlfn.XLOOKUP(Table1[[#This Row],[Customer ID]],customers!$A$1:$A$1001,customers!$I$1:$I$1001,,0)</f>
        <v>Yes</v>
      </c>
    </row>
    <row r="972" spans="1:16" x14ac:dyDescent="0.2">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_xlfn.XLOOKUP(Table1[[#This Row],[Customer ID]],customers!$A$1:$A$1001,customers!$I$1:$I$1001,,0)</f>
        <v>No</v>
      </c>
    </row>
    <row r="973" spans="1:16" x14ac:dyDescent="0.2">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_xlfn.XLOOKUP(Table1[[#This Row],[Customer ID]],customers!$A$1:$A$1001,customers!$I$1:$I$1001,,0)</f>
        <v>No</v>
      </c>
    </row>
    <row r="974" spans="1:16" x14ac:dyDescent="0.2">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_xlfn.XLOOKUP(Table1[[#This Row],[Customer ID]],customers!$A$1:$A$1001,customers!$I$1:$I$1001,,0)</f>
        <v>Yes</v>
      </c>
    </row>
    <row r="975" spans="1:16" x14ac:dyDescent="0.2">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_xlfn.XLOOKUP(Table1[[#This Row],[Customer ID]],customers!$A$1:$A$1001,customers!$I$1:$I$1001,,0)</f>
        <v>No</v>
      </c>
    </row>
    <row r="976" spans="1:16" x14ac:dyDescent="0.2">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_xlfn.XLOOKUP(Table1[[#This Row],[Customer ID]],customers!$A$1:$A$1001,customers!$I$1:$I$1001,,0)</f>
        <v>Yes</v>
      </c>
    </row>
    <row r="977" spans="1:16" x14ac:dyDescent="0.2">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_xlfn.XLOOKUP(Table1[[#This Row],[Customer ID]],customers!$A$1:$A$1001,customers!$I$1:$I$1001,,0)</f>
        <v>Yes</v>
      </c>
    </row>
    <row r="978" spans="1:16" x14ac:dyDescent="0.2">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_xlfn.XLOOKUP(Table1[[#This Row],[Customer ID]],customers!$A$1:$A$1001,customers!$I$1:$I$1001,,0)</f>
        <v>Yes</v>
      </c>
    </row>
    <row r="979" spans="1:16" x14ac:dyDescent="0.2">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_xlfn.XLOOKUP(Table1[[#This Row],[Customer ID]],customers!$A$1:$A$1001,customers!$I$1:$I$1001,,0)</f>
        <v>No</v>
      </c>
    </row>
    <row r="980" spans="1:16" x14ac:dyDescent="0.2">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_xlfn.XLOOKUP(Table1[[#This Row],[Customer ID]],customers!$A$1:$A$1001,customers!$I$1:$I$1001,,0)</f>
        <v>No</v>
      </c>
    </row>
    <row r="981" spans="1:16" x14ac:dyDescent="0.2">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_xlfn.XLOOKUP(Table1[[#This Row],[Customer ID]],customers!$A$1:$A$1001,customers!$I$1:$I$1001,,0)</f>
        <v>No</v>
      </c>
    </row>
    <row r="982" spans="1:16" x14ac:dyDescent="0.2">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_xlfn.XLOOKUP(Table1[[#This Row],[Customer ID]],customers!$A$1:$A$1001,customers!$I$1:$I$1001,,0)</f>
        <v>Yes</v>
      </c>
    </row>
    <row r="983" spans="1:16" x14ac:dyDescent="0.2">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_xlfn.XLOOKUP(Table1[[#This Row],[Customer ID]],customers!$A$1:$A$1001,customers!$I$1:$I$1001,,0)</f>
        <v>Yes</v>
      </c>
    </row>
    <row r="984" spans="1:16" x14ac:dyDescent="0.2">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_xlfn.XLOOKUP(Table1[[#This Row],[Customer ID]],customers!$A$1:$A$1001,customers!$I$1:$I$1001,,0)</f>
        <v>Yes</v>
      </c>
    </row>
    <row r="985" spans="1:16" x14ac:dyDescent="0.2">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_xlfn.XLOOKUP(Table1[[#This Row],[Customer ID]],customers!$A$1:$A$1001,customers!$I$1:$I$1001,,0)</f>
        <v>Yes</v>
      </c>
    </row>
    <row r="986" spans="1:16" x14ac:dyDescent="0.2">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_xlfn.XLOOKUP(Table1[[#This Row],[Customer ID]],customers!$A$1:$A$1001,customers!$I$1:$I$1001,,0)</f>
        <v>Yes</v>
      </c>
    </row>
    <row r="987" spans="1:16" x14ac:dyDescent="0.2">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_xlfn.XLOOKUP(Table1[[#This Row],[Customer ID]],customers!$A$1:$A$1001,customers!$I$1:$I$1001,,0)</f>
        <v>No</v>
      </c>
    </row>
    <row r="988" spans="1:16" x14ac:dyDescent="0.2">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_xlfn.XLOOKUP(Table1[[#This Row],[Customer ID]],customers!$A$1:$A$1001,customers!$I$1:$I$1001,,0)</f>
        <v>No</v>
      </c>
    </row>
    <row r="989" spans="1:16" x14ac:dyDescent="0.2">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_xlfn.XLOOKUP(Table1[[#This Row],[Customer ID]],customers!$A$1:$A$1001,customers!$I$1:$I$1001,,0)</f>
        <v>Yes</v>
      </c>
    </row>
    <row r="990" spans="1:16" x14ac:dyDescent="0.2">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_xlfn.XLOOKUP(Table1[[#This Row],[Customer ID]],customers!$A$1:$A$1001,customers!$I$1:$I$1001,,0)</f>
        <v>Yes</v>
      </c>
    </row>
    <row r="991" spans="1:16" x14ac:dyDescent="0.2">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_xlfn.XLOOKUP(Table1[[#This Row],[Customer ID]],customers!$A$1:$A$1001,customers!$I$1:$I$1001,,0)</f>
        <v>Yes</v>
      </c>
    </row>
    <row r="992" spans="1:16" x14ac:dyDescent="0.2">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_xlfn.XLOOKUP(Table1[[#This Row],[Customer ID]],customers!$A$1:$A$1001,customers!$I$1:$I$1001,,0)</f>
        <v>No</v>
      </c>
    </row>
    <row r="993" spans="1:16" x14ac:dyDescent="0.2">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_xlfn.XLOOKUP(Table1[[#This Row],[Customer ID]],customers!$A$1:$A$1001,customers!$I$1:$I$1001,,0)</f>
        <v>No</v>
      </c>
    </row>
    <row r="994" spans="1:16" x14ac:dyDescent="0.2">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_xlfn.XLOOKUP(Table1[[#This Row],[Customer ID]],customers!$A$1:$A$1001,customers!$I$1:$I$1001,,0)</f>
        <v>No</v>
      </c>
    </row>
    <row r="995" spans="1:16" x14ac:dyDescent="0.2">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_xlfn.XLOOKUP(Table1[[#This Row],[Customer ID]],customers!$A$1:$A$1001,customers!$I$1:$I$1001,,0)</f>
        <v>No</v>
      </c>
    </row>
    <row r="996" spans="1:16" x14ac:dyDescent="0.2">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_xlfn.XLOOKUP(Table1[[#This Row],[Customer ID]],customers!$A$1:$A$1001,customers!$I$1:$I$1001,,0)</f>
        <v>No</v>
      </c>
    </row>
    <row r="997" spans="1:16" x14ac:dyDescent="0.2">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_xlfn.XLOOKUP(Table1[[#This Row],[Customer ID]],customers!$A$1:$A$1001,customers!$I$1:$I$1001,,0)</f>
        <v>No</v>
      </c>
    </row>
    <row r="998" spans="1:16" x14ac:dyDescent="0.2">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_xlfn.XLOOKUP(Table1[[#This Row],[Customer ID]],customers!$A$1:$A$1001,customers!$I$1:$I$1001,,0)</f>
        <v>No</v>
      </c>
    </row>
    <row r="999" spans="1:16" x14ac:dyDescent="0.2">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_xlfn.XLOOKUP(Table1[[#This Row],[Customer ID]],customers!$A$1:$A$1001,customers!$I$1:$I$1001,,0)</f>
        <v>No</v>
      </c>
    </row>
    <row r="1000" spans="1:16" x14ac:dyDescent="0.2">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_xlfn.XLOOKUP(Table1[[#This Row],[Customer ID]],customers!$A$1:$A$1001,customers!$I$1:$I$1001,,0)</f>
        <v>No</v>
      </c>
    </row>
    <row r="1001" spans="1:16" x14ac:dyDescent="0.2">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_xlfn.XLOOKUP(Table1[[#This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59" workbookViewId="0">
      <selection activeCell="B2" sqref="B2"/>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7" workbookViewId="0">
      <selection activeCell="I22" sqref="I22"/>
    </sheetView>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7E457-4C83-3A45-8956-7E204077AEAC}">
  <dimension ref="A1"/>
  <sheetViews>
    <sheetView tabSelected="1" zoomScale="75" workbookViewId="0">
      <selection activeCell="AA24" sqref="AA24"/>
    </sheetView>
  </sheetViews>
  <sheetFormatPr baseColWidth="10" defaultRowHeight="15" x14ac:dyDescent="0.2"/>
  <cols>
    <col min="1" max="1" width="1.83203125" customWidth="1"/>
  </cols>
  <sheetData>
    <row r="1" ht="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TotalSales</vt:lpstr>
      <vt:lpstr>CountryBarChart</vt:lpstr>
      <vt:lpstr>Top5Customers</vt:lpstr>
      <vt:lpstr>Sheet5</vt:lpstr>
      <vt:lpstr>orders</vt:lpstr>
      <vt:lpstr>customers</vt:lpstr>
      <vt:lpstr>products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Microsoft Office User</cp:lastModifiedBy>
  <cp:revision/>
  <dcterms:created xsi:type="dcterms:W3CDTF">2022-11-26T09:51:45Z</dcterms:created>
  <dcterms:modified xsi:type="dcterms:W3CDTF">2025-11-12T07:48:20Z</dcterms:modified>
  <cp:category/>
  <cp:contentStatus/>
</cp:coreProperties>
</file>